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0000"/>
      <sz val="11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2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3" fontId="3" fillId="0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3" fillId="0" borderId="1" pivotButton="0" quotePrefix="0" xfId="0"/>
    <xf numFmtId="165" fontId="4" fillId="0" borderId="1" pivotButton="0" quotePrefix="0" xfId="0"/>
    <xf numFmtId="2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24" customWidth="1" min="4" max="4"/>
    <col width="23" customWidth="1" min="5" max="5"/>
    <col width="23" customWidth="1" min="6" max="6"/>
    <col width="15" customWidth="1" min="7" max="7"/>
    <col width="15" customWidth="1" min="8" max="8"/>
  </cols>
  <sheetData>
    <row r="1"/>
    <row r="2"/>
    <row r="3">
      <c r="B3" s="1" t="inlineStr">
        <is>
          <t>NCF</t>
        </is>
      </c>
    </row>
    <row r="4">
      <c r="B4" s="2" t="inlineStr">
        <is>
          <t>Keterangan</t>
        </is>
      </c>
      <c r="C4" s="2" t="inlineStr">
        <is>
          <t>Tahun 0</t>
        </is>
      </c>
      <c r="D4" s="2" t="inlineStr">
        <is>
          <t>Tahun 1</t>
        </is>
      </c>
      <c r="E4" s="2" t="inlineStr">
        <is>
          <t>Tahun 2</t>
        </is>
      </c>
      <c r="F4" s="2" t="inlineStr">
        <is>
          <t>Tahun 3</t>
        </is>
      </c>
      <c r="G4" s="2" t="inlineStr">
        <is>
          <t>Tahun 4</t>
        </is>
      </c>
      <c r="H4" s="2" t="inlineStr">
        <is>
          <t>Tahun 5</t>
        </is>
      </c>
    </row>
    <row r="5">
      <c r="B5" s="3" t="inlineStr">
        <is>
          <t>Investasi Awal</t>
        </is>
      </c>
      <c r="C5" s="4">
        <f>C19</f>
        <v/>
      </c>
      <c r="D5" s="3" t="n"/>
      <c r="E5" s="3" t="n"/>
      <c r="F5" s="3" t="n"/>
      <c r="G5" s="3" t="n"/>
      <c r="H5" s="3" t="n"/>
    </row>
    <row r="6">
      <c r="B6" s="5" t="inlineStr">
        <is>
          <t>Cash Inflow/CIF</t>
        </is>
      </c>
      <c r="C6" s="5" t="n"/>
      <c r="D6" s="6">
        <f>Sheet2!C20</f>
        <v/>
      </c>
      <c r="E6" s="6">
        <f>Sheet2!D20</f>
        <v/>
      </c>
      <c r="F6" s="6">
        <f>Sheet2!E20</f>
        <v/>
      </c>
      <c r="G6" s="6">
        <f>Sheet2!F20</f>
        <v/>
      </c>
      <c r="H6" s="6">
        <f>Sheet2!G20</f>
        <v/>
      </c>
    </row>
    <row r="7">
      <c r="B7" s="5" t="inlineStr">
        <is>
          <t>Cash Outflow/COF(-)</t>
        </is>
      </c>
      <c r="C7" s="5" t="n"/>
      <c r="D7" s="6">
        <f>Sheet2!C173</f>
        <v/>
      </c>
      <c r="E7" s="6">
        <f>Sheet2!D173</f>
        <v/>
      </c>
      <c r="F7" s="6">
        <f>Sheet2!E173</f>
        <v/>
      </c>
      <c r="G7" s="6">
        <f>Sheet2!F173</f>
        <v/>
      </c>
      <c r="H7" s="6">
        <f>Sheet2!G173</f>
        <v/>
      </c>
    </row>
    <row r="8">
      <c r="B8" s="3" t="inlineStr">
        <is>
          <t>NCF = EAT</t>
        </is>
      </c>
      <c r="C8" s="3" t="n"/>
      <c r="D8" s="4">
        <f>D6-D7</f>
        <v/>
      </c>
      <c r="E8" s="4">
        <f>E6-E7</f>
        <v/>
      </c>
      <c r="F8" s="4">
        <f>F6-F7</f>
        <v/>
      </c>
      <c r="G8" s="4">
        <f>G6-G7</f>
        <v/>
      </c>
      <c r="H8" s="4">
        <f>H6-H7</f>
        <v/>
      </c>
    </row>
    <row r="9">
      <c r="B9" s="5" t="inlineStr">
        <is>
          <t>Depresiasi (+)</t>
        </is>
      </c>
      <c r="C9" s="5" t="n"/>
      <c r="D9" s="6">
        <f>$D$68</f>
        <v/>
      </c>
      <c r="E9" s="6">
        <f>$D$68</f>
        <v/>
      </c>
      <c r="F9" s="6">
        <f>$D$68</f>
        <v/>
      </c>
      <c r="G9" s="6">
        <f>$D$68</f>
        <v/>
      </c>
      <c r="H9" s="6">
        <f>$D$68</f>
        <v/>
      </c>
    </row>
    <row r="10">
      <c r="B10" s="3" t="inlineStr">
        <is>
          <t>Proceed</t>
        </is>
      </c>
      <c r="C10" s="3" t="n"/>
      <c r="D10" s="4">
        <f>D8-D9</f>
        <v/>
      </c>
      <c r="E10" s="4">
        <f>E8-E9</f>
        <v/>
      </c>
      <c r="F10" s="4">
        <f>F8-F9</f>
        <v/>
      </c>
      <c r="G10" s="4">
        <f>G8-G9</f>
        <v/>
      </c>
      <c r="H10" s="4">
        <f>H8-H9</f>
        <v/>
      </c>
    </row>
    <row r="11"/>
    <row r="12"/>
    <row r="13">
      <c r="B13" s="1" t="inlineStr">
        <is>
          <t>Initial Outlay</t>
        </is>
      </c>
    </row>
    <row r="14">
      <c r="B14" s="5" t="inlineStr">
        <is>
          <t>Aktiva Tetap</t>
        </is>
      </c>
      <c r="C14" s="6">
        <f>F66</f>
        <v/>
      </c>
    </row>
    <row r="15">
      <c r="B15" s="5" t="inlineStr">
        <is>
          <t>Biaya Sewa</t>
        </is>
      </c>
      <c r="C15" s="6">
        <f>E72</f>
        <v/>
      </c>
    </row>
    <row r="16">
      <c r="B16" s="5" t="inlineStr">
        <is>
          <t>Biaya Amdal</t>
        </is>
      </c>
      <c r="C16" s="6">
        <f>F78</f>
        <v/>
      </c>
    </row>
    <row r="17">
      <c r="B17" s="5" t="inlineStr">
        <is>
          <t>Biaya Survey</t>
        </is>
      </c>
      <c r="C17" s="6">
        <f>F85</f>
        <v/>
      </c>
    </row>
    <row r="18">
      <c r="B18" s="5" t="inlineStr">
        <is>
          <t>Biaya Promosi</t>
        </is>
      </c>
      <c r="C18" s="6">
        <f>F90</f>
        <v/>
      </c>
    </row>
    <row r="19">
      <c r="B19" s="3" t="inlineStr">
        <is>
          <t>Total</t>
        </is>
      </c>
      <c r="C19" s="4">
        <f>SUM(C14:C18)</f>
        <v/>
      </c>
    </row>
    <row r="20"/>
    <row r="21"/>
    <row r="22">
      <c r="B22" s="1" t="inlineStr">
        <is>
          <t>AKTIVA TETAP</t>
        </is>
      </c>
    </row>
    <row r="23">
      <c r="B23" s="7" t="inlineStr">
        <is>
          <t>No.</t>
        </is>
      </c>
      <c r="C23" s="7" t="inlineStr">
        <is>
          <t>Keterangan</t>
        </is>
      </c>
      <c r="D23" s="7" t="inlineStr">
        <is>
          <t>Jumlah</t>
        </is>
      </c>
      <c r="E23" s="7" t="inlineStr">
        <is>
          <t>Harga Satuan</t>
        </is>
      </c>
      <c r="F23" s="7" t="inlineStr">
        <is>
          <t>Total</t>
        </is>
      </c>
    </row>
    <row r="24">
      <c r="B24" s="8" t="n">
        <v>1</v>
      </c>
      <c r="C24" s="5" t="inlineStr">
        <is>
          <t>Meja Kayu Resto F&amp;B</t>
        </is>
      </c>
      <c r="D24" s="8" t="n">
        <v>10</v>
      </c>
      <c r="E24" s="6" t="n">
        <v>1200000</v>
      </c>
      <c r="F24" s="6">
        <f>D24*E24</f>
        <v/>
      </c>
    </row>
    <row r="25">
      <c r="B25" s="8" t="n">
        <v>2</v>
      </c>
      <c r="C25" s="5" t="inlineStr">
        <is>
          <t>Kursi Makan Kayu &amp; Busa</t>
        </is>
      </c>
      <c r="D25" s="8" t="n">
        <v>40</v>
      </c>
      <c r="E25" s="6" t="n">
        <v>250000</v>
      </c>
      <c r="F25" s="6">
        <f>D25*E25</f>
        <v/>
      </c>
    </row>
    <row r="26">
      <c r="B26" s="8" t="n">
        <v>3</v>
      </c>
      <c r="C26" s="5" t="inlineStr">
        <is>
          <t>Dandang Rebus Mie Komersial 4 Lubang Stainless</t>
        </is>
      </c>
      <c r="D26" s="8" t="n">
        <v>2</v>
      </c>
      <c r="E26" s="6" t="n">
        <v>4500000</v>
      </c>
      <c r="F26" s="6">
        <f>D26*E26</f>
        <v/>
      </c>
    </row>
    <row r="27">
      <c r="B27" s="8" t="n">
        <v>4</v>
      </c>
      <c r="C27" s="5" t="inlineStr">
        <is>
          <t>Kompor High Pressure / Semawar Blower</t>
        </is>
      </c>
      <c r="D27" s="8" t="n">
        <v>3</v>
      </c>
      <c r="E27" s="6" t="n">
        <v>2200000</v>
      </c>
      <c r="F27" s="6">
        <f>D27*E27</f>
        <v/>
      </c>
    </row>
    <row r="28">
      <c r="B28" s="8" t="n">
        <v>5</v>
      </c>
      <c r="C28" s="5" t="inlineStr">
        <is>
          <t>Chiller Undercounter Stainless Steel</t>
        </is>
      </c>
      <c r="D28" s="8" t="n">
        <v>1</v>
      </c>
      <c r="E28" s="6" t="n">
        <v>9500000</v>
      </c>
      <c r="F28" s="6">
        <f>D28*E28</f>
        <v/>
      </c>
    </row>
    <row r="29">
      <c r="B29" s="8" t="n">
        <v>6</v>
      </c>
      <c r="C29" s="5" t="inlineStr">
        <is>
          <t>Chest Freezer Pembeku Daging 400 Liter</t>
        </is>
      </c>
      <c r="D29" s="8" t="n">
        <v>1</v>
      </c>
      <c r="E29" s="6" t="n">
        <v>6000000</v>
      </c>
      <c r="F29" s="6">
        <f>D29*E29</f>
        <v/>
      </c>
    </row>
    <row r="30">
      <c r="B30" s="8" t="n">
        <v>7</v>
      </c>
      <c r="C30" s="5" t="inlineStr">
        <is>
          <t>Mesin Press / Adonan Mie</t>
        </is>
      </c>
      <c r="D30" s="8" t="n">
        <v>1</v>
      </c>
      <c r="E30" s="6" t="n">
        <v>8500000</v>
      </c>
      <c r="F30" s="6">
        <f>D30*E30</f>
        <v/>
      </c>
    </row>
    <row r="31">
      <c r="B31" s="8" t="n">
        <v>8</v>
      </c>
      <c r="C31" s="5" t="inlineStr">
        <is>
          <t>Etalase Display Daging &amp; Mie Kaca Transparan</t>
        </is>
      </c>
      <c r="D31" s="8" t="n">
        <v>1</v>
      </c>
      <c r="E31" s="6" t="n">
        <v>5500000</v>
      </c>
      <c r="F31" s="6">
        <f>D31*E31</f>
        <v/>
      </c>
    </row>
    <row r="32">
      <c r="B32" s="8" t="n">
        <v>9</v>
      </c>
      <c r="C32" s="5" t="inlineStr">
        <is>
          <t>Mesin Kasir POS Touchscreen &amp; Thermal Printer</t>
        </is>
      </c>
      <c r="D32" s="8" t="n">
        <v>1</v>
      </c>
      <c r="E32" s="6" t="n">
        <v>3500000</v>
      </c>
      <c r="F32" s="6">
        <f>D32*E32</f>
        <v/>
      </c>
    </row>
    <row r="33">
      <c r="B33" s="8" t="n">
        <v>10</v>
      </c>
      <c r="C33" s="5" t="inlineStr">
        <is>
          <t>AC Inverter 2 PK</t>
        </is>
      </c>
      <c r="D33" s="8" t="n">
        <v>2</v>
      </c>
      <c r="E33" s="6" t="n">
        <v>7000000</v>
      </c>
      <c r="F33" s="6">
        <f>D33*E33</f>
        <v/>
      </c>
    </row>
    <row r="34">
      <c r="B34" s="8" t="n">
        <v>11</v>
      </c>
      <c r="C34" s="5" t="inlineStr">
        <is>
          <t>Kipas Exhaust Hood &amp; Ducting Kitchen</t>
        </is>
      </c>
      <c r="D34" s="8" t="n">
        <v>1</v>
      </c>
      <c r="E34" s="6" t="n">
        <v>6500000</v>
      </c>
      <c r="F34" s="6">
        <f>D34*E34</f>
        <v/>
      </c>
    </row>
    <row r="35">
      <c r="B35" s="8" t="n">
        <v>12</v>
      </c>
      <c r="C35" s="5" t="inlineStr">
        <is>
          <t>Sistem CCTV Keamanan 8 Kamera</t>
        </is>
      </c>
      <c r="D35" s="8" t="n">
        <v>1</v>
      </c>
      <c r="E35" s="6" t="n">
        <v>3200000</v>
      </c>
      <c r="F35" s="6">
        <f>D35*E35</f>
        <v/>
      </c>
    </row>
    <row r="36">
      <c r="B36" s="8" t="n">
        <v>13</v>
      </c>
      <c r="C36" s="5" t="inlineStr">
        <is>
          <t>Smart TV 43 Inci</t>
        </is>
      </c>
      <c r="D36" s="8" t="n">
        <v>1</v>
      </c>
      <c r="E36" s="6" t="n">
        <v>4000000</v>
      </c>
      <c r="F36" s="6">
        <f>D36*E36</f>
        <v/>
      </c>
    </row>
    <row r="37">
      <c r="B37" s="8" t="n">
        <v>14</v>
      </c>
      <c r="C37" s="5" t="inlineStr">
        <is>
          <t>Peralatan Saji Mangkok Keramik Bakmi &amp; Sendok Garpu (Set)</t>
        </is>
      </c>
      <c r="D37" s="8" t="n">
        <v>1</v>
      </c>
      <c r="E37" s="6" t="n">
        <v>6500000</v>
      </c>
      <c r="F37" s="6">
        <f>D37*E37</f>
        <v/>
      </c>
    </row>
    <row r="38">
      <c r="B38" s="8" t="n">
        <v>15</v>
      </c>
      <c r="C38" s="5" t="inlineStr">
        <is>
          <t>Motor Operasional &amp; Delivery</t>
        </is>
      </c>
      <c r="D38" s="8" t="n">
        <v>2</v>
      </c>
      <c r="E38" s="6" t="n">
        <v>21000000</v>
      </c>
      <c r="F38" s="6">
        <f>D38*E38</f>
        <v/>
      </c>
    </row>
    <row r="39">
      <c r="B39" s="8" t="n">
        <v>16</v>
      </c>
      <c r="C39" s="5" t="inlineStr">
        <is>
          <t>Box Insulated Thermal Delivery</t>
        </is>
      </c>
      <c r="D39" s="8" t="n">
        <v>2</v>
      </c>
      <c r="E39" s="6" t="n">
        <v>1200000</v>
      </c>
      <c r="F39" s="6">
        <f>D39*E39</f>
        <v/>
      </c>
    </row>
    <row r="40">
      <c r="B40" s="8" t="n">
        <v>17</v>
      </c>
      <c r="C40" s="5" t="inlineStr">
        <is>
          <t>Neon Box Signage Toko &amp; Pencahayaan</t>
        </is>
      </c>
      <c r="D40" s="8" t="n">
        <v>1</v>
      </c>
      <c r="E40" s="6" t="n">
        <v>5500000</v>
      </c>
      <c r="F40" s="6">
        <f>D40*E40</f>
        <v/>
      </c>
    </row>
    <row r="41">
      <c r="B41" s="8" t="n">
        <v>18</v>
      </c>
      <c r="C41" s="5" t="inlineStr">
        <is>
          <t>Renovasi Interior Ruko &amp; Pemasangan Partisi Kaca</t>
        </is>
      </c>
      <c r="D41" s="8" t="n">
        <v>1</v>
      </c>
      <c r="E41" s="6" t="n">
        <v>28000000</v>
      </c>
      <c r="F41" s="6">
        <f>D41*E41</f>
        <v/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>
      <c r="B66" s="3" t="inlineStr">
        <is>
          <t>Total Biaya</t>
        </is>
      </c>
      <c r="F66" s="4">
        <f>SUM(F24:F41)</f>
        <v/>
      </c>
    </row>
    <row r="67"/>
    <row r="68">
      <c r="B68" s="3" t="inlineStr">
        <is>
          <t>Depresiasi (20%)</t>
        </is>
      </c>
      <c r="D68" s="4">
        <f>F66*20%</f>
        <v/>
      </c>
    </row>
    <row r="69"/>
    <row r="70">
      <c r="B70" s="1" t="inlineStr">
        <is>
          <t>BIAYA SEWA</t>
        </is>
      </c>
    </row>
    <row r="71">
      <c r="B71" s="9" t="inlineStr">
        <is>
          <t>No</t>
        </is>
      </c>
      <c r="C71" s="9" t="inlineStr">
        <is>
          <t>Keterangan</t>
        </is>
      </c>
      <c r="D71" s="9" t="inlineStr">
        <is>
          <t>Jangka Waktu (/tahun)</t>
        </is>
      </c>
      <c r="E71" s="9" t="inlineStr">
        <is>
          <t>Harga Sewa per tahun</t>
        </is>
      </c>
      <c r="F71" s="9" t="inlineStr">
        <is>
          <t>Harga Sewa per bulan</t>
        </is>
      </c>
    </row>
    <row r="72">
      <c r="B72" s="8" t="n">
        <v>1</v>
      </c>
      <c r="C72" s="5" t="inlineStr">
        <is>
          <t>Biaya Sewa Tempat</t>
        </is>
      </c>
      <c r="D72" s="8" t="n">
        <v>5</v>
      </c>
      <c r="E72" s="6" t="n">
        <v>45000000</v>
      </c>
      <c r="F72" s="6">
        <f>(D72*E72)/60</f>
        <v/>
      </c>
    </row>
    <row r="73">
      <c r="B73" s="3" t="inlineStr">
        <is>
          <t>Total Biaya</t>
        </is>
      </c>
      <c r="F73" s="4">
        <f>F72</f>
        <v/>
      </c>
    </row>
    <row r="74"/>
    <row r="75">
      <c r="B75" s="1" t="inlineStr">
        <is>
          <t>BIAYA AMDAL</t>
        </is>
      </c>
    </row>
    <row r="76">
      <c r="B76" s="9" t="inlineStr">
        <is>
          <t>No</t>
        </is>
      </c>
      <c r="C76" s="9" t="inlineStr">
        <is>
          <t>Keterangan</t>
        </is>
      </c>
      <c r="D76" s="9" t="inlineStr">
        <is>
          <t>Jumlah</t>
        </is>
      </c>
      <c r="E76" s="9" t="inlineStr">
        <is>
          <t>Harga satuan</t>
        </is>
      </c>
      <c r="F76" s="9" t="inlineStr">
        <is>
          <t>Total</t>
        </is>
      </c>
    </row>
    <row r="77">
      <c r="B77" s="8" t="n">
        <v>1</v>
      </c>
      <c r="C77" s="5" t="inlineStr">
        <is>
          <t>Tempat Sampah &amp; Sanitasi</t>
        </is>
      </c>
      <c r="D77" s="8" t="n">
        <v>5</v>
      </c>
      <c r="E77" s="6" t="n">
        <v>100000</v>
      </c>
      <c r="F77" s="6">
        <f>D77*E77</f>
        <v/>
      </c>
    </row>
    <row r="78">
      <c r="B78" s="3" t="inlineStr">
        <is>
          <t>Total Biaya</t>
        </is>
      </c>
      <c r="F78" s="4">
        <f>SUM(F77:F77)</f>
        <v/>
      </c>
    </row>
    <row r="79"/>
    <row r="80"/>
    <row r="81">
      <c r="B81" s="1" t="inlineStr">
        <is>
          <t>BIAYA SURVEY</t>
        </is>
      </c>
    </row>
    <row r="82">
      <c r="B82" s="9" t="inlineStr">
        <is>
          <t>No</t>
        </is>
      </c>
      <c r="C82" s="9" t="inlineStr">
        <is>
          <t>Keterangan</t>
        </is>
      </c>
      <c r="D82" s="9" t="inlineStr">
        <is>
          <t>Jumlah</t>
        </is>
      </c>
      <c r="E82" s="9" t="inlineStr">
        <is>
          <t>Harga satuan</t>
        </is>
      </c>
      <c r="F82" s="9" t="inlineStr">
        <is>
          <t>Total</t>
        </is>
      </c>
    </row>
    <row r="83">
      <c r="B83" s="8" t="n">
        <v>1</v>
      </c>
      <c r="C83" s="5" t="inlineStr">
        <is>
          <t>Biaya Konsumsi Tim Survey</t>
        </is>
      </c>
      <c r="D83" s="8" t="n">
        <v>3</v>
      </c>
      <c r="E83" s="6" t="n">
        <v>100000</v>
      </c>
      <c r="F83" s="6">
        <f>D83*E83</f>
        <v/>
      </c>
    </row>
    <row r="84">
      <c r="B84" s="8" t="n">
        <v>2</v>
      </c>
      <c r="C84" s="5" t="inlineStr">
        <is>
          <t>Biaya Transportasi &amp; Bensin</t>
        </is>
      </c>
      <c r="D84" s="8" t="n">
        <v>3</v>
      </c>
      <c r="E84" s="6" t="n">
        <v>150000</v>
      </c>
      <c r="F84" s="6">
        <f>D84*E84</f>
        <v/>
      </c>
    </row>
    <row r="85">
      <c r="B85" s="3" t="inlineStr">
        <is>
          <t>Total Biaya</t>
        </is>
      </c>
      <c r="F85" s="4">
        <f>SUM(F83:F84)</f>
        <v/>
      </c>
    </row>
    <row r="86"/>
    <row r="87">
      <c r="B87" s="1" t="inlineStr">
        <is>
          <t>BIAYA PROMOSI</t>
        </is>
      </c>
    </row>
    <row r="88">
      <c r="B88" s="9" t="inlineStr">
        <is>
          <t>No</t>
        </is>
      </c>
      <c r="C88" s="9" t="inlineStr">
        <is>
          <t>Keterangan</t>
        </is>
      </c>
      <c r="D88" s="9" t="inlineStr">
        <is>
          <t>Jumlah</t>
        </is>
      </c>
      <c r="E88" s="9" t="inlineStr">
        <is>
          <t>Harga Iklan</t>
        </is>
      </c>
      <c r="F88" s="9" t="inlineStr">
        <is>
          <t>Total</t>
        </is>
      </c>
    </row>
    <row r="89">
      <c r="B89" s="8" t="n">
        <v>1</v>
      </c>
      <c r="C89" s="5" t="inlineStr">
        <is>
          <t>Biaya Iklan Sosmed &amp; Spanduk</t>
        </is>
      </c>
      <c r="D89" s="8" t="n">
        <v>2</v>
      </c>
      <c r="E89" s="6" t="n">
        <v>1000000</v>
      </c>
      <c r="F89" s="6">
        <f>D89*E89</f>
        <v/>
      </c>
    </row>
    <row r="90">
      <c r="B90" s="3" t="inlineStr">
        <is>
          <t>Total Biaya</t>
        </is>
      </c>
      <c r="F90" s="4">
        <f>SUM(F89)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22" customWidth="1" min="4" max="4"/>
    <col width="21" customWidth="1" min="5" max="5"/>
    <col width="20" customWidth="1" min="6" max="6"/>
    <col width="20" customWidth="1" min="7" max="7"/>
  </cols>
  <sheetData>
    <row r="1"/>
    <row r="2">
      <c r="B2" s="1" t="inlineStr">
        <is>
          <t>CASH INFLOW</t>
        </is>
      </c>
    </row>
    <row r="3">
      <c r="B3" s="9" t="inlineStr">
        <is>
          <t>Cash Inflow</t>
        </is>
      </c>
      <c r="C3" s="9" t="inlineStr">
        <is>
          <t>Tahun 1</t>
        </is>
      </c>
      <c r="D3" s="9" t="inlineStr">
        <is>
          <t>Tahun 2</t>
        </is>
      </c>
      <c r="E3" s="9" t="inlineStr">
        <is>
          <t>Tahun 3</t>
        </is>
      </c>
      <c r="F3" s="9" t="inlineStr">
        <is>
          <t>Tahun 4</t>
        </is>
      </c>
      <c r="G3" s="9" t="inlineStr">
        <is>
          <t>Tahun 5</t>
        </is>
      </c>
    </row>
    <row r="4">
      <c r="B4" s="10" t="inlineStr">
        <is>
          <t>Penjualan Produk Utama</t>
        </is>
      </c>
    </row>
    <row r="5"/>
    <row r="6">
      <c r="B6" s="5" t="inlineStr">
        <is>
          <t>Bakmi Spesial Campur (Ayam &amp; Babi)</t>
        </is>
      </c>
      <c r="C6" s="6">
        <f>C149</f>
        <v/>
      </c>
      <c r="D6" s="6">
        <f>D149</f>
        <v/>
      </c>
      <c r="E6" s="6">
        <f>E149</f>
        <v/>
      </c>
      <c r="F6" s="6">
        <f>F149</f>
        <v/>
      </c>
      <c r="G6" s="6">
        <f>G149</f>
        <v/>
      </c>
    </row>
    <row r="7">
      <c r="B7" s="5" t="inlineStr">
        <is>
          <t>Bakmi Daging Babi Casiu</t>
        </is>
      </c>
      <c r="C7" s="6">
        <f>C150</f>
        <v/>
      </c>
      <c r="D7" s="6">
        <f>D150</f>
        <v/>
      </c>
      <c r="E7" s="6">
        <f>E150</f>
        <v/>
      </c>
      <c r="F7" s="6">
        <f>F150</f>
        <v/>
      </c>
      <c r="G7" s="6">
        <f>G150</f>
        <v/>
      </c>
    </row>
    <row r="8">
      <c r="B8" s="5" t="inlineStr">
        <is>
          <t>Bakmi Daging Ayam Jamur</t>
        </is>
      </c>
      <c r="C8" s="6">
        <f>C151</f>
        <v/>
      </c>
      <c r="D8" s="6">
        <f>D151</f>
        <v/>
      </c>
      <c r="E8" s="6">
        <f>E151</f>
        <v/>
      </c>
      <c r="F8" s="6">
        <f>F151</f>
        <v/>
      </c>
      <c r="G8" s="6">
        <f>G151</f>
        <v/>
      </c>
    </row>
    <row r="9">
      <c r="B9" s="5" t="inlineStr">
        <is>
          <t>Bakmi Lebar / Kwetiau Spesial</t>
        </is>
      </c>
      <c r="C9" s="6">
        <f>C152</f>
        <v/>
      </c>
      <c r="D9" s="6">
        <f>D152</f>
        <v/>
      </c>
      <c r="E9" s="6">
        <f>E152</f>
        <v/>
      </c>
      <c r="F9" s="6">
        <f>F152</f>
        <v/>
      </c>
      <c r="G9" s="6">
        <f>G152</f>
        <v/>
      </c>
    </row>
    <row r="10">
      <c r="B10" s="5" t="inlineStr">
        <is>
          <t>Swikiauw Homemade Kuah (5 pcs)</t>
        </is>
      </c>
      <c r="C10" s="6">
        <f>C153</f>
        <v/>
      </c>
      <c r="D10" s="6">
        <f>D153</f>
        <v/>
      </c>
      <c r="E10" s="6">
        <f>E153</f>
        <v/>
      </c>
      <c r="F10" s="6">
        <f>F153</f>
        <v/>
      </c>
      <c r="G10" s="6">
        <f>G153</f>
        <v/>
      </c>
    </row>
    <row r="11">
      <c r="B11" s="5" t="inlineStr">
        <is>
          <t>Pangsit Rebus / Goreng (5 pcs)</t>
        </is>
      </c>
      <c r="C11" s="6">
        <f>C154</f>
        <v/>
      </c>
      <c r="D11" s="6">
        <f>D154</f>
        <v/>
      </c>
      <c r="E11" s="6">
        <f>E154</f>
        <v/>
      </c>
      <c r="F11" s="6">
        <f>F154</f>
        <v/>
      </c>
      <c r="G11" s="6">
        <f>G154</f>
        <v/>
      </c>
    </row>
    <row r="12">
      <c r="B12" s="5" t="inlineStr">
        <is>
          <t>Es Jeruk Sonkit Kietna</t>
        </is>
      </c>
      <c r="C12" s="6">
        <f>C155</f>
        <v/>
      </c>
      <c r="D12" s="6">
        <f>D155</f>
        <v/>
      </c>
      <c r="E12" s="6">
        <f>E155</f>
        <v/>
      </c>
      <c r="F12" s="6">
        <f>F155</f>
        <v/>
      </c>
      <c r="G12" s="6">
        <f>G155</f>
        <v/>
      </c>
    </row>
    <row r="13">
      <c r="B13" s="5" t="inlineStr">
        <is>
          <t>Es Liang Teh Herbal Medan</t>
        </is>
      </c>
      <c r="C13" s="6">
        <f>C156</f>
        <v/>
      </c>
      <c r="D13" s="6">
        <f>D156</f>
        <v/>
      </c>
      <c r="E13" s="6">
        <f>E156</f>
        <v/>
      </c>
      <c r="F13" s="6">
        <f>F156</f>
        <v/>
      </c>
      <c r="G13" s="6">
        <f>G156</f>
        <v/>
      </c>
    </row>
    <row r="14">
      <c r="B14" s="5" t="inlineStr">
        <is>
          <t>Es Teh Manis</t>
        </is>
      </c>
      <c r="C14" s="6">
        <f>C157</f>
        <v/>
      </c>
      <c r="D14" s="6">
        <f>D157</f>
        <v/>
      </c>
      <c r="E14" s="6">
        <f>E157</f>
        <v/>
      </c>
      <c r="F14" s="6">
        <f>F157</f>
        <v/>
      </c>
      <c r="G14" s="6">
        <f>G157</f>
        <v/>
      </c>
    </row>
    <row r="15">
      <c r="B15" s="5" t="inlineStr">
        <is>
          <t>Badak Sarsaparilla</t>
        </is>
      </c>
      <c r="C15" s="6">
        <f>C158</f>
        <v/>
      </c>
      <c r="D15" s="6">
        <f>D158</f>
        <v/>
      </c>
      <c r="E15" s="6">
        <f>E158</f>
        <v/>
      </c>
      <c r="F15" s="6">
        <f>F158</f>
        <v/>
      </c>
      <c r="G15" s="6">
        <f>G158</f>
        <v/>
      </c>
    </row>
    <row r="16">
      <c r="B16" s="5" t="inlineStr">
        <is>
          <t>Air Mineral Botol</t>
        </is>
      </c>
      <c r="C16" s="6">
        <f>C159</f>
        <v/>
      </c>
      <c r="D16" s="6">
        <f>D159</f>
        <v/>
      </c>
      <c r="E16" s="6">
        <f>E159</f>
        <v/>
      </c>
      <c r="F16" s="6">
        <f>F159</f>
        <v/>
      </c>
      <c r="G16" s="6">
        <f>G159</f>
        <v/>
      </c>
    </row>
    <row r="17"/>
    <row r="18"/>
    <row r="19"/>
    <row r="20">
      <c r="B20" s="3" t="inlineStr">
        <is>
          <t>Total</t>
        </is>
      </c>
      <c r="C20" s="4">
        <f>SUM(C6:C19)</f>
        <v/>
      </c>
      <c r="D20" s="4">
        <f>SUM(D6:D19)</f>
        <v/>
      </c>
      <c r="E20" s="4">
        <f>SUM(E6:E19)</f>
        <v/>
      </c>
      <c r="F20" s="4">
        <f>SUM(F6:F19)</f>
        <v/>
      </c>
      <c r="G20" s="4">
        <f>SUM(G6:G19)</f>
        <v/>
      </c>
    </row>
    <row r="21"/>
    <row r="22"/>
    <row r="23">
      <c r="B23" s="9" t="inlineStr">
        <is>
          <t>Target Penjualan Harian</t>
        </is>
      </c>
      <c r="C23" s="9" t="inlineStr">
        <is>
          <t>Tahun 1</t>
        </is>
      </c>
      <c r="D23" s="9" t="inlineStr">
        <is>
          <t>Tahun 2</t>
        </is>
      </c>
      <c r="E23" s="9" t="inlineStr">
        <is>
          <t>Tahun 3</t>
        </is>
      </c>
      <c r="F23" s="9" t="inlineStr">
        <is>
          <t>Tahun 4</t>
        </is>
      </c>
      <c r="G23" s="9" t="inlineStr">
        <is>
          <t>Tahun 5</t>
        </is>
      </c>
    </row>
    <row r="24"/>
    <row r="25"/>
    <row r="26">
      <c r="B26" s="5" t="inlineStr">
        <is>
          <t>Bakmi Spesial Campur (Ayam &amp; Babi)</t>
        </is>
      </c>
      <c r="C26" s="8" t="n">
        <v>25</v>
      </c>
      <c r="D26" s="8" t="n">
        <v>30</v>
      </c>
      <c r="E26" s="8" t="n">
        <v>35</v>
      </c>
      <c r="F26" s="8" t="n">
        <v>40</v>
      </c>
      <c r="G26" s="8" t="n">
        <v>45</v>
      </c>
    </row>
    <row r="27">
      <c r="B27" s="5" t="inlineStr">
        <is>
          <t>Bakmi Daging Babi Casiu</t>
        </is>
      </c>
      <c r="C27" s="8" t="n">
        <v>20</v>
      </c>
      <c r="D27" s="8" t="n">
        <v>24</v>
      </c>
      <c r="E27" s="8" t="n">
        <v>28</v>
      </c>
      <c r="F27" s="8" t="n">
        <v>32</v>
      </c>
      <c r="G27" s="8" t="n">
        <v>36</v>
      </c>
    </row>
    <row r="28">
      <c r="B28" s="5" t="inlineStr">
        <is>
          <t>Bakmi Daging Ayam Jamur</t>
        </is>
      </c>
      <c r="C28" s="8" t="n">
        <v>18</v>
      </c>
      <c r="D28" s="8" t="n">
        <v>22</v>
      </c>
      <c r="E28" s="8" t="n">
        <v>26</v>
      </c>
      <c r="F28" s="8" t="n">
        <v>30</v>
      </c>
      <c r="G28" s="8" t="n">
        <v>34</v>
      </c>
    </row>
    <row r="29">
      <c r="B29" s="5" t="inlineStr">
        <is>
          <t>Bakmi Lebar / Kwetiau Spesial</t>
        </is>
      </c>
      <c r="C29" s="8" t="n">
        <v>15</v>
      </c>
      <c r="D29" s="8" t="n">
        <v>18</v>
      </c>
      <c r="E29" s="8" t="n">
        <v>22</v>
      </c>
      <c r="F29" s="8" t="n">
        <v>25</v>
      </c>
      <c r="G29" s="8" t="n">
        <v>28</v>
      </c>
    </row>
    <row r="30">
      <c r="B30" s="5" t="inlineStr">
        <is>
          <t>Swikiauw Homemade Kuah (5 pcs)</t>
        </is>
      </c>
      <c r="C30" s="8" t="n">
        <v>20</v>
      </c>
      <c r="D30" s="8" t="n">
        <v>24</v>
      </c>
      <c r="E30" s="8" t="n">
        <v>28</v>
      </c>
      <c r="F30" s="8" t="n">
        <v>32</v>
      </c>
      <c r="G30" s="8" t="n">
        <v>36</v>
      </c>
    </row>
    <row r="31">
      <c r="B31" s="5" t="inlineStr">
        <is>
          <t>Pangsit Rebus / Goreng (5 pcs)</t>
        </is>
      </c>
      <c r="C31" s="8" t="n">
        <v>18</v>
      </c>
      <c r="D31" s="8" t="n">
        <v>22</v>
      </c>
      <c r="E31" s="8" t="n">
        <v>25</v>
      </c>
      <c r="F31" s="8" t="n">
        <v>28</v>
      </c>
      <c r="G31" s="8" t="n">
        <v>32</v>
      </c>
    </row>
    <row r="32">
      <c r="B32" s="5" t="inlineStr">
        <is>
          <t>Es Jeruk Sonkit Kietna</t>
        </is>
      </c>
      <c r="C32" s="8" t="n">
        <v>22</v>
      </c>
      <c r="D32" s="8" t="n">
        <v>26</v>
      </c>
      <c r="E32" s="8" t="n">
        <v>30</v>
      </c>
      <c r="F32" s="8" t="n">
        <v>35</v>
      </c>
      <c r="G32" s="8" t="n">
        <v>40</v>
      </c>
    </row>
    <row r="33">
      <c r="B33" s="5" t="inlineStr">
        <is>
          <t>Es Liang Teh Herbal Medan</t>
        </is>
      </c>
      <c r="C33" s="8" t="n">
        <v>25</v>
      </c>
      <c r="D33" s="8" t="n">
        <v>30</v>
      </c>
      <c r="E33" s="8" t="n">
        <v>35</v>
      </c>
      <c r="F33" s="8" t="n">
        <v>40</v>
      </c>
      <c r="G33" s="8" t="n">
        <v>45</v>
      </c>
    </row>
    <row r="34">
      <c r="B34" s="5" t="inlineStr">
        <is>
          <t>Es Teh Manis</t>
        </is>
      </c>
      <c r="C34" s="8" t="n">
        <v>35</v>
      </c>
      <c r="D34" s="8" t="n">
        <v>40</v>
      </c>
      <c r="E34" s="8" t="n">
        <v>45</v>
      </c>
      <c r="F34" s="8" t="n">
        <v>50</v>
      </c>
      <c r="G34" s="8" t="n">
        <v>55</v>
      </c>
    </row>
    <row r="35">
      <c r="B35" s="5" t="inlineStr">
        <is>
          <t>Badak Sarsaparilla</t>
        </is>
      </c>
      <c r="C35" s="8" t="n">
        <v>10</v>
      </c>
      <c r="D35" s="8" t="n">
        <v>12</v>
      </c>
      <c r="E35" s="8" t="n">
        <v>15</v>
      </c>
      <c r="F35" s="8" t="n">
        <v>18</v>
      </c>
      <c r="G35" s="8" t="n">
        <v>20</v>
      </c>
    </row>
    <row r="36">
      <c r="B36" s="5" t="inlineStr">
        <is>
          <t>Air Mineral Botol</t>
        </is>
      </c>
      <c r="C36" s="8" t="n">
        <v>15</v>
      </c>
      <c r="D36" s="8" t="n">
        <v>18</v>
      </c>
      <c r="E36" s="8" t="n">
        <v>20</v>
      </c>
      <c r="F36" s="8" t="n">
        <v>22</v>
      </c>
      <c r="G36" s="8" t="n">
        <v>25</v>
      </c>
    </row>
    <row r="37"/>
    <row r="38"/>
    <row r="39"/>
    <row r="40"/>
    <row r="41"/>
    <row r="42">
      <c r="B42" s="10" t="inlineStr">
        <is>
          <t>Harga Produk naik per tahunnya</t>
        </is>
      </c>
    </row>
    <row r="43">
      <c r="B43" s="10" t="inlineStr">
        <is>
          <t>Bakmi Spesial Campur (Ayam &amp; Babi)</t>
        </is>
      </c>
    </row>
    <row r="44">
      <c r="B44" s="11" t="inlineStr">
        <is>
          <t>Harga</t>
        </is>
      </c>
      <c r="C44" s="12" t="n">
        <v>37000</v>
      </c>
      <c r="D44" s="12">
        <f>C47</f>
        <v/>
      </c>
      <c r="E44" s="12">
        <f>D47</f>
        <v/>
      </c>
      <c r="F44" s="12">
        <f>E47</f>
        <v/>
      </c>
      <c r="G44" s="12">
        <f>F47</f>
        <v/>
      </c>
    </row>
    <row r="45">
      <c r="B45" s="11" t="inlineStr">
        <is>
          <t>Kenaikan Harga</t>
        </is>
      </c>
      <c r="D45" s="13" t="n">
        <v>0.1</v>
      </c>
      <c r="E45" s="13" t="n">
        <v>0.12</v>
      </c>
      <c r="F45" s="13" t="n">
        <v>0.13</v>
      </c>
      <c r="G45" s="13" t="n">
        <v>0.15</v>
      </c>
    </row>
    <row r="46">
      <c r="B46" s="11" t="inlineStr">
        <is>
          <t>Harga Baru</t>
        </is>
      </c>
      <c r="D46" s="12">
        <f>D44*(1+D45)</f>
        <v/>
      </c>
      <c r="E46" s="12">
        <f>E44*(1+E45)</f>
        <v/>
      </c>
      <c r="F46" s="12">
        <f>F44*(1+F45)</f>
        <v/>
      </c>
      <c r="G46" s="12">
        <f>G44*(1+G45)</f>
        <v/>
      </c>
    </row>
    <row r="47">
      <c r="B47" s="10" t="inlineStr">
        <is>
          <t>Pembulatan Harga</t>
        </is>
      </c>
      <c r="C47" s="12">
        <f>C44</f>
        <v/>
      </c>
      <c r="D47" s="12">
        <f>ROUNDUP(D46, -3)</f>
        <v/>
      </c>
      <c r="E47" s="12">
        <f>ROUNDUP(E46, -3)</f>
        <v/>
      </c>
      <c r="F47" s="12">
        <f>ROUNDUP(F46, -3)</f>
        <v/>
      </c>
      <c r="G47" s="12">
        <f>ROUNDUP(G46, -3)</f>
        <v/>
      </c>
    </row>
    <row r="48">
      <c r="B48" s="10" t="inlineStr">
        <is>
          <t>Bakmi Daging Babi Casiu</t>
        </is>
      </c>
    </row>
    <row r="49">
      <c r="B49" s="11" t="inlineStr">
        <is>
          <t>Harga</t>
        </is>
      </c>
      <c r="C49" s="12" t="n">
        <v>34000</v>
      </c>
      <c r="D49" s="12">
        <f>C52</f>
        <v/>
      </c>
      <c r="E49" s="12">
        <f>D52</f>
        <v/>
      </c>
      <c r="F49" s="12">
        <f>E52</f>
        <v/>
      </c>
      <c r="G49" s="12">
        <f>F52</f>
        <v/>
      </c>
    </row>
    <row r="50">
      <c r="B50" s="11" t="inlineStr">
        <is>
          <t>Kenaikan Harga</t>
        </is>
      </c>
      <c r="D50" s="13" t="n">
        <v>0.1</v>
      </c>
      <c r="E50" s="13" t="n">
        <v>0.12</v>
      </c>
      <c r="F50" s="13" t="n">
        <v>0.13</v>
      </c>
      <c r="G50" s="13" t="n">
        <v>0.15</v>
      </c>
    </row>
    <row r="51">
      <c r="B51" s="11" t="inlineStr">
        <is>
          <t>Harga Baru</t>
        </is>
      </c>
      <c r="D51" s="12">
        <f>D49*(1+D50)</f>
        <v/>
      </c>
      <c r="E51" s="12">
        <f>E49*(1+E50)</f>
        <v/>
      </c>
      <c r="F51" s="12">
        <f>F49*(1+F50)</f>
        <v/>
      </c>
      <c r="G51" s="12">
        <f>G49*(1+G50)</f>
        <v/>
      </c>
    </row>
    <row r="52">
      <c r="B52" s="10" t="inlineStr">
        <is>
          <t>Pembulatan Harga</t>
        </is>
      </c>
      <c r="C52" s="12">
        <f>C49</f>
        <v/>
      </c>
      <c r="D52" s="12">
        <f>ROUNDUP(D51, -3)</f>
        <v/>
      </c>
      <c r="E52" s="12">
        <f>ROUNDUP(E51, -3)</f>
        <v/>
      </c>
      <c r="F52" s="12">
        <f>ROUNDUP(F51, -3)</f>
        <v/>
      </c>
      <c r="G52" s="12">
        <f>ROUNDUP(G51, -3)</f>
        <v/>
      </c>
    </row>
    <row r="53">
      <c r="B53" s="10" t="inlineStr">
        <is>
          <t>Bakmi Daging Ayam Jamur</t>
        </is>
      </c>
    </row>
    <row r="54">
      <c r="B54" s="11" t="inlineStr">
        <is>
          <t>Harga</t>
        </is>
      </c>
      <c r="C54" s="12" t="n">
        <v>30000</v>
      </c>
      <c r="D54" s="12">
        <f>C57</f>
        <v/>
      </c>
      <c r="E54" s="12">
        <f>D57</f>
        <v/>
      </c>
      <c r="F54" s="12">
        <f>E57</f>
        <v/>
      </c>
      <c r="G54" s="12">
        <f>F57</f>
        <v/>
      </c>
    </row>
    <row r="55">
      <c r="B55" s="11" t="inlineStr">
        <is>
          <t>Kenaikan Harga</t>
        </is>
      </c>
      <c r="D55" s="13" t="n">
        <v>0.1</v>
      </c>
      <c r="E55" s="13" t="n">
        <v>0.12</v>
      </c>
      <c r="F55" s="13" t="n">
        <v>0.13</v>
      </c>
      <c r="G55" s="13" t="n">
        <v>0.15</v>
      </c>
    </row>
    <row r="56">
      <c r="B56" s="11" t="inlineStr">
        <is>
          <t>Harga Baru</t>
        </is>
      </c>
      <c r="D56" s="12">
        <f>D54*(1+D55)</f>
        <v/>
      </c>
      <c r="E56" s="12">
        <f>E54*(1+E55)</f>
        <v/>
      </c>
      <c r="F56" s="12">
        <f>F54*(1+F55)</f>
        <v/>
      </c>
      <c r="G56" s="12">
        <f>G54*(1+G55)</f>
        <v/>
      </c>
    </row>
    <row r="57">
      <c r="B57" s="10" t="inlineStr">
        <is>
          <t>Pembulatan Harga</t>
        </is>
      </c>
      <c r="C57" s="12">
        <f>C54</f>
        <v/>
      </c>
      <c r="D57" s="12">
        <f>ROUNDUP(D56, -3)</f>
        <v/>
      </c>
      <c r="E57" s="12">
        <f>ROUNDUP(E56, -3)</f>
        <v/>
      </c>
      <c r="F57" s="12">
        <f>ROUNDUP(F56, -3)</f>
        <v/>
      </c>
      <c r="G57" s="12">
        <f>ROUNDUP(G56, -3)</f>
        <v/>
      </c>
    </row>
    <row r="58">
      <c r="B58" s="10" t="inlineStr">
        <is>
          <t>Bakmi Lebar / Kwetiau Spesial</t>
        </is>
      </c>
    </row>
    <row r="59">
      <c r="B59" s="11" t="inlineStr">
        <is>
          <t>Harga</t>
        </is>
      </c>
      <c r="C59" s="12" t="n">
        <v>37000</v>
      </c>
      <c r="D59" s="12">
        <f>C62</f>
        <v/>
      </c>
      <c r="E59" s="12">
        <f>D62</f>
        <v/>
      </c>
      <c r="F59" s="12">
        <f>E62</f>
        <v/>
      </c>
      <c r="G59" s="12">
        <f>F62</f>
        <v/>
      </c>
    </row>
    <row r="60">
      <c r="B60" s="11" t="inlineStr">
        <is>
          <t>Kenaikan Harga</t>
        </is>
      </c>
      <c r="D60" s="13" t="n">
        <v>0.1</v>
      </c>
      <c r="E60" s="13" t="n">
        <v>0.12</v>
      </c>
      <c r="F60" s="13" t="n">
        <v>0.13</v>
      </c>
      <c r="G60" s="13" t="n">
        <v>0.15</v>
      </c>
    </row>
    <row r="61">
      <c r="B61" s="11" t="inlineStr">
        <is>
          <t>Harga Baru</t>
        </is>
      </c>
      <c r="D61" s="12">
        <f>D59*(1+D60)</f>
        <v/>
      </c>
      <c r="E61" s="12">
        <f>E59*(1+E60)</f>
        <v/>
      </c>
      <c r="F61" s="12">
        <f>F59*(1+F60)</f>
        <v/>
      </c>
      <c r="G61" s="12">
        <f>G59*(1+G60)</f>
        <v/>
      </c>
    </row>
    <row r="62">
      <c r="B62" s="10" t="inlineStr">
        <is>
          <t>Pembulatan Harga</t>
        </is>
      </c>
      <c r="C62" s="12">
        <f>C59</f>
        <v/>
      </c>
      <c r="D62" s="12">
        <f>ROUNDUP(D61, -3)</f>
        <v/>
      </c>
      <c r="E62" s="12">
        <f>ROUNDUP(E61, -3)</f>
        <v/>
      </c>
      <c r="F62" s="12">
        <f>ROUNDUP(F61, -3)</f>
        <v/>
      </c>
      <c r="G62" s="12">
        <f>ROUNDUP(G61, -3)</f>
        <v/>
      </c>
    </row>
    <row r="63">
      <c r="B63" s="10" t="inlineStr">
        <is>
          <t>Swikiauw Homemade Kuah (5 pcs)</t>
        </is>
      </c>
    </row>
    <row r="64">
      <c r="B64" s="11" t="inlineStr">
        <is>
          <t>Harga</t>
        </is>
      </c>
      <c r="C64" s="12" t="n">
        <v>32000</v>
      </c>
      <c r="D64" s="12">
        <f>C67</f>
        <v/>
      </c>
      <c r="E64" s="12">
        <f>D67</f>
        <v/>
      </c>
      <c r="F64" s="12">
        <f>E67</f>
        <v/>
      </c>
      <c r="G64" s="12">
        <f>F67</f>
        <v/>
      </c>
    </row>
    <row r="65">
      <c r="B65" s="11" t="inlineStr">
        <is>
          <t>Kenaikan Harga</t>
        </is>
      </c>
      <c r="D65" s="13" t="n">
        <v>0.1</v>
      </c>
      <c r="E65" s="13" t="n">
        <v>0.12</v>
      </c>
      <c r="F65" s="13" t="n">
        <v>0.13</v>
      </c>
      <c r="G65" s="13" t="n">
        <v>0.15</v>
      </c>
    </row>
    <row r="66">
      <c r="B66" s="11" t="inlineStr">
        <is>
          <t>Harga Baru</t>
        </is>
      </c>
      <c r="D66" s="12">
        <f>D64*(1+D65)</f>
        <v/>
      </c>
      <c r="E66" s="12">
        <f>E64*(1+E65)</f>
        <v/>
      </c>
      <c r="F66" s="12">
        <f>F64*(1+F65)</f>
        <v/>
      </c>
      <c r="G66" s="12">
        <f>G64*(1+G65)</f>
        <v/>
      </c>
    </row>
    <row r="67">
      <c r="B67" s="10" t="inlineStr">
        <is>
          <t>Pembulatan Harga</t>
        </is>
      </c>
      <c r="C67" s="12">
        <f>C64</f>
        <v/>
      </c>
      <c r="D67" s="12">
        <f>ROUNDUP(D66, -3)</f>
        <v/>
      </c>
      <c r="E67" s="12">
        <f>ROUNDUP(E66, -3)</f>
        <v/>
      </c>
      <c r="F67" s="12">
        <f>ROUNDUP(F66, -3)</f>
        <v/>
      </c>
      <c r="G67" s="12">
        <f>ROUNDUP(G66, -3)</f>
        <v/>
      </c>
    </row>
    <row r="68">
      <c r="B68" s="10" t="inlineStr">
        <is>
          <t>Pangsit Rebus / Goreng (5 pcs)</t>
        </is>
      </c>
    </row>
    <row r="69">
      <c r="B69" s="11" t="inlineStr">
        <is>
          <t>Harga</t>
        </is>
      </c>
      <c r="C69" s="12" t="n">
        <v>25000</v>
      </c>
      <c r="D69" s="12">
        <f>C72</f>
        <v/>
      </c>
      <c r="E69" s="12">
        <f>D72</f>
        <v/>
      </c>
      <c r="F69" s="12">
        <f>E72</f>
        <v/>
      </c>
      <c r="G69" s="12">
        <f>F72</f>
        <v/>
      </c>
    </row>
    <row r="70">
      <c r="B70" s="11" t="inlineStr">
        <is>
          <t>Kenaikan Harga</t>
        </is>
      </c>
      <c r="D70" s="13" t="n">
        <v>0.1</v>
      </c>
      <c r="E70" s="13" t="n">
        <v>0.12</v>
      </c>
      <c r="F70" s="13" t="n">
        <v>0.13</v>
      </c>
      <c r="G70" s="13" t="n">
        <v>0.15</v>
      </c>
    </row>
    <row r="71">
      <c r="B71" s="11" t="inlineStr">
        <is>
          <t>Harga Baru</t>
        </is>
      </c>
      <c r="D71" s="12">
        <f>D69*(1+D70)</f>
        <v/>
      </c>
      <c r="E71" s="12">
        <f>E69*(1+E70)</f>
        <v/>
      </c>
      <c r="F71" s="12">
        <f>F69*(1+F70)</f>
        <v/>
      </c>
      <c r="G71" s="12">
        <f>G69*(1+G70)</f>
        <v/>
      </c>
    </row>
    <row r="72">
      <c r="B72" s="10" t="inlineStr">
        <is>
          <t>Pembulatan Harga</t>
        </is>
      </c>
      <c r="C72" s="12">
        <f>C69</f>
        <v/>
      </c>
      <c r="D72" s="12">
        <f>ROUNDUP(D71, -3)</f>
        <v/>
      </c>
      <c r="E72" s="12">
        <f>ROUNDUP(E71, -3)</f>
        <v/>
      </c>
      <c r="F72" s="12">
        <f>ROUNDUP(F71, -3)</f>
        <v/>
      </c>
      <c r="G72" s="12">
        <f>ROUNDUP(G71, -3)</f>
        <v/>
      </c>
    </row>
    <row r="73">
      <c r="B73" s="10" t="inlineStr">
        <is>
          <t>Es Jeruk Sonkit Kietna</t>
        </is>
      </c>
    </row>
    <row r="74">
      <c r="B74" s="11" t="inlineStr">
        <is>
          <t>Harga</t>
        </is>
      </c>
      <c r="C74" s="12" t="n">
        <v>15000</v>
      </c>
      <c r="D74" s="12">
        <f>C77</f>
        <v/>
      </c>
      <c r="E74" s="12">
        <f>D77</f>
        <v/>
      </c>
      <c r="F74" s="12">
        <f>E77</f>
        <v/>
      </c>
      <c r="G74" s="12">
        <f>F77</f>
        <v/>
      </c>
    </row>
    <row r="75">
      <c r="B75" s="11" t="inlineStr">
        <is>
          <t>Kenaikan Harga</t>
        </is>
      </c>
      <c r="D75" s="13" t="n">
        <v>0.1</v>
      </c>
      <c r="E75" s="13" t="n">
        <v>0.12</v>
      </c>
      <c r="F75" s="13" t="n">
        <v>0.13</v>
      </c>
      <c r="G75" s="13" t="n">
        <v>0.15</v>
      </c>
    </row>
    <row r="76">
      <c r="B76" s="11" t="inlineStr">
        <is>
          <t>Harga Baru</t>
        </is>
      </c>
      <c r="D76" s="12">
        <f>D74*(1+D75)</f>
        <v/>
      </c>
      <c r="E76" s="12">
        <f>E74*(1+E75)</f>
        <v/>
      </c>
      <c r="F76" s="12">
        <f>F74*(1+F75)</f>
        <v/>
      </c>
      <c r="G76" s="12">
        <f>G74*(1+G75)</f>
        <v/>
      </c>
    </row>
    <row r="77">
      <c r="B77" s="10" t="inlineStr">
        <is>
          <t>Pembulatan Harga</t>
        </is>
      </c>
      <c r="C77" s="12">
        <f>C74</f>
        <v/>
      </c>
      <c r="D77" s="12">
        <f>ROUNDUP(D76, -3)</f>
        <v/>
      </c>
      <c r="E77" s="12">
        <f>ROUNDUP(E76, -3)</f>
        <v/>
      </c>
      <c r="F77" s="12">
        <f>ROUNDUP(F76, -3)</f>
        <v/>
      </c>
      <c r="G77" s="12">
        <f>ROUNDUP(G76, -3)</f>
        <v/>
      </c>
    </row>
    <row r="78">
      <c r="B78" s="10" t="inlineStr">
        <is>
          <t>Es Liang Teh Herbal Medan</t>
        </is>
      </c>
    </row>
    <row r="79">
      <c r="B79" s="11" t="inlineStr">
        <is>
          <t>Harga</t>
        </is>
      </c>
      <c r="C79" s="12" t="n">
        <v>12000</v>
      </c>
      <c r="D79" s="12">
        <f>C82</f>
        <v/>
      </c>
      <c r="E79" s="12">
        <f>D82</f>
        <v/>
      </c>
      <c r="F79" s="12">
        <f>E82</f>
        <v/>
      </c>
      <c r="G79" s="12">
        <f>F82</f>
        <v/>
      </c>
    </row>
    <row r="80">
      <c r="B80" s="11" t="inlineStr">
        <is>
          <t>Kenaikan Harga</t>
        </is>
      </c>
      <c r="D80" s="13" t="n">
        <v>0.1</v>
      </c>
      <c r="E80" s="13" t="n">
        <v>0.12</v>
      </c>
      <c r="F80" s="13" t="n">
        <v>0.13</v>
      </c>
      <c r="G80" s="13" t="n">
        <v>0.15</v>
      </c>
    </row>
    <row r="81">
      <c r="B81" s="11" t="inlineStr">
        <is>
          <t>Harga Baru</t>
        </is>
      </c>
      <c r="D81" s="12">
        <f>D79*(1+D80)</f>
        <v/>
      </c>
      <c r="E81" s="12">
        <f>E79*(1+E80)</f>
        <v/>
      </c>
      <c r="F81" s="12">
        <f>F79*(1+F80)</f>
        <v/>
      </c>
      <c r="G81" s="12">
        <f>G79*(1+G80)</f>
        <v/>
      </c>
    </row>
    <row r="82">
      <c r="B82" s="10" t="inlineStr">
        <is>
          <t>Pembulatan Harga</t>
        </is>
      </c>
      <c r="C82" s="12">
        <f>C79</f>
        <v/>
      </c>
      <c r="D82" s="12">
        <f>ROUNDUP(D81, -3)</f>
        <v/>
      </c>
      <c r="E82" s="12">
        <f>ROUNDUP(E81, -3)</f>
        <v/>
      </c>
      <c r="F82" s="12">
        <f>ROUNDUP(F81, -3)</f>
        <v/>
      </c>
      <c r="G82" s="12">
        <f>ROUNDUP(G81, -3)</f>
        <v/>
      </c>
    </row>
    <row r="83">
      <c r="B83" s="10" t="inlineStr">
        <is>
          <t>Es Teh Manis</t>
        </is>
      </c>
    </row>
    <row r="84">
      <c r="B84" s="11" t="inlineStr">
        <is>
          <t>Harga</t>
        </is>
      </c>
      <c r="C84" s="12" t="n">
        <v>7000</v>
      </c>
      <c r="D84" s="12">
        <f>C87</f>
        <v/>
      </c>
      <c r="E84" s="12">
        <f>D87</f>
        <v/>
      </c>
      <c r="F84" s="12">
        <f>E87</f>
        <v/>
      </c>
      <c r="G84" s="12">
        <f>F87</f>
        <v/>
      </c>
    </row>
    <row r="85">
      <c r="B85" s="11" t="inlineStr">
        <is>
          <t>Kenaikan Harga</t>
        </is>
      </c>
      <c r="D85" s="13" t="n">
        <v>0.1</v>
      </c>
      <c r="E85" s="13" t="n">
        <v>0.12</v>
      </c>
      <c r="F85" s="13" t="n">
        <v>0.13</v>
      </c>
      <c r="G85" s="13" t="n">
        <v>0.15</v>
      </c>
    </row>
    <row r="86">
      <c r="B86" s="11" t="inlineStr">
        <is>
          <t>Harga Baru</t>
        </is>
      </c>
      <c r="D86" s="12">
        <f>D84*(1+D85)</f>
        <v/>
      </c>
      <c r="E86" s="12">
        <f>E84*(1+E85)</f>
        <v/>
      </c>
      <c r="F86" s="12">
        <f>F84*(1+F85)</f>
        <v/>
      </c>
      <c r="G86" s="12">
        <f>G84*(1+G85)</f>
        <v/>
      </c>
    </row>
    <row r="87">
      <c r="B87" s="10" t="inlineStr">
        <is>
          <t>Pembulatan Harga</t>
        </is>
      </c>
      <c r="C87" s="12">
        <f>C84</f>
        <v/>
      </c>
      <c r="D87" s="12">
        <f>ROUNDUP(D86, -3)</f>
        <v/>
      </c>
      <c r="E87" s="12">
        <f>ROUNDUP(E86, -3)</f>
        <v/>
      </c>
      <c r="F87" s="12">
        <f>ROUNDUP(F86, -3)</f>
        <v/>
      </c>
      <c r="G87" s="12">
        <f>ROUNDUP(G86, -3)</f>
        <v/>
      </c>
    </row>
    <row r="88">
      <c r="B88" s="10" t="inlineStr">
        <is>
          <t>Badak Sarsaparilla</t>
        </is>
      </c>
    </row>
    <row r="89">
      <c r="B89" s="11" t="inlineStr">
        <is>
          <t>Harga</t>
        </is>
      </c>
      <c r="C89" s="12" t="n">
        <v>18000</v>
      </c>
      <c r="D89" s="12">
        <f>C92</f>
        <v/>
      </c>
      <c r="E89" s="12">
        <f>D92</f>
        <v/>
      </c>
      <c r="F89" s="12">
        <f>E92</f>
        <v/>
      </c>
      <c r="G89" s="12">
        <f>F92</f>
        <v/>
      </c>
    </row>
    <row r="90">
      <c r="B90" s="11" t="inlineStr">
        <is>
          <t>Kenaikan Harga</t>
        </is>
      </c>
      <c r="D90" s="13" t="n">
        <v>0.1</v>
      </c>
      <c r="E90" s="13" t="n">
        <v>0.12</v>
      </c>
      <c r="F90" s="13" t="n">
        <v>0.13</v>
      </c>
      <c r="G90" s="13" t="n">
        <v>0.15</v>
      </c>
    </row>
    <row r="91">
      <c r="B91" s="11" t="inlineStr">
        <is>
          <t>Harga Baru</t>
        </is>
      </c>
      <c r="D91" s="12">
        <f>D89*(1+D90)</f>
        <v/>
      </c>
      <c r="E91" s="12">
        <f>E89*(1+E90)</f>
        <v/>
      </c>
      <c r="F91" s="12">
        <f>F89*(1+F90)</f>
        <v/>
      </c>
      <c r="G91" s="12">
        <f>G89*(1+G90)</f>
        <v/>
      </c>
    </row>
    <row r="92">
      <c r="B92" s="10" t="inlineStr">
        <is>
          <t>Pembulatan Harga</t>
        </is>
      </c>
      <c r="C92" s="12">
        <f>C89</f>
        <v/>
      </c>
      <c r="D92" s="12">
        <f>ROUNDUP(D91, -3)</f>
        <v/>
      </c>
      <c r="E92" s="12">
        <f>ROUNDUP(E91, -3)</f>
        <v/>
      </c>
      <c r="F92" s="12">
        <f>ROUNDUP(F91, -3)</f>
        <v/>
      </c>
      <c r="G92" s="12">
        <f>ROUNDUP(G91, -3)</f>
        <v/>
      </c>
    </row>
    <row r="93">
      <c r="B93" s="10" t="inlineStr">
        <is>
          <t>Air Mineral Botol</t>
        </is>
      </c>
    </row>
    <row r="94">
      <c r="B94" s="11" t="inlineStr">
        <is>
          <t>Harga</t>
        </is>
      </c>
      <c r="C94" s="12" t="n">
        <v>5000</v>
      </c>
      <c r="D94" s="12">
        <f>C97</f>
        <v/>
      </c>
      <c r="E94" s="12">
        <f>D97</f>
        <v/>
      </c>
      <c r="F94" s="12">
        <f>E97</f>
        <v/>
      </c>
      <c r="G94" s="12">
        <f>F97</f>
        <v/>
      </c>
    </row>
    <row r="95">
      <c r="B95" s="11" t="inlineStr">
        <is>
          <t>Kenaikan Harga</t>
        </is>
      </c>
      <c r="D95" s="13" t="n">
        <v>0.1</v>
      </c>
      <c r="E95" s="13" t="n">
        <v>0.12</v>
      </c>
      <c r="F95" s="13" t="n">
        <v>0.13</v>
      </c>
      <c r="G95" s="13" t="n">
        <v>0.15</v>
      </c>
    </row>
    <row r="96">
      <c r="B96" s="11" t="inlineStr">
        <is>
          <t>Harga Baru</t>
        </is>
      </c>
      <c r="D96" s="12">
        <f>D94*(1+D95)</f>
        <v/>
      </c>
      <c r="E96" s="12">
        <f>E94*(1+E95)</f>
        <v/>
      </c>
      <c r="F96" s="12">
        <f>F94*(1+F95)</f>
        <v/>
      </c>
      <c r="G96" s="12">
        <f>G94*(1+G95)</f>
        <v/>
      </c>
    </row>
    <row r="97">
      <c r="B97" s="10" t="inlineStr">
        <is>
          <t>Pembulatan Harga</t>
        </is>
      </c>
      <c r="C97" s="12">
        <f>C94</f>
        <v/>
      </c>
      <c r="D97" s="12">
        <f>ROUNDUP(D96, -3)</f>
        <v/>
      </c>
      <c r="E97" s="12">
        <f>ROUNDUP(E96, -3)</f>
        <v/>
      </c>
      <c r="F97" s="12">
        <f>ROUNDUP(F96, -3)</f>
        <v/>
      </c>
      <c r="G97" s="12">
        <f>ROUNDUP(G96, -3)</f>
        <v/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>
      <c r="B128" s="10" t="inlineStr">
        <is>
          <t>Pendapatan Bulanan (25 Hari Kerja)</t>
        </is>
      </c>
    </row>
    <row r="129"/>
    <row r="130">
      <c r="B130" s="11" t="inlineStr">
        <is>
          <t>Bakmi Spesial Campur (Ayam &amp; Babi)</t>
        </is>
      </c>
      <c r="C130" s="12">
        <f>C26*C47*25</f>
        <v/>
      </c>
      <c r="D130" s="12">
        <f>D26*D47*25</f>
        <v/>
      </c>
      <c r="E130" s="12">
        <f>E26*E47*25</f>
        <v/>
      </c>
      <c r="F130" s="12">
        <f>F26*F47*25</f>
        <v/>
      </c>
      <c r="G130" s="12">
        <f>G26*G47*25</f>
        <v/>
      </c>
    </row>
    <row r="131">
      <c r="B131" s="11" t="inlineStr">
        <is>
          <t>Bakmi Daging Babi Casiu</t>
        </is>
      </c>
      <c r="C131" s="12">
        <f>C27*C52*25</f>
        <v/>
      </c>
      <c r="D131" s="12">
        <f>D27*D52*25</f>
        <v/>
      </c>
      <c r="E131" s="12">
        <f>E27*E52*25</f>
        <v/>
      </c>
      <c r="F131" s="12">
        <f>F27*F52*25</f>
        <v/>
      </c>
      <c r="G131" s="12">
        <f>G27*G52*25</f>
        <v/>
      </c>
    </row>
    <row r="132">
      <c r="B132" s="11" t="inlineStr">
        <is>
          <t>Bakmi Daging Ayam Jamur</t>
        </is>
      </c>
      <c r="C132" s="12">
        <f>C28*C57*25</f>
        <v/>
      </c>
      <c r="D132" s="12">
        <f>D28*D57*25</f>
        <v/>
      </c>
      <c r="E132" s="12">
        <f>E28*E57*25</f>
        <v/>
      </c>
      <c r="F132" s="12">
        <f>F28*F57*25</f>
        <v/>
      </c>
      <c r="G132" s="12">
        <f>G28*G57*25</f>
        <v/>
      </c>
    </row>
    <row r="133">
      <c r="B133" s="11" t="inlineStr">
        <is>
          <t>Bakmi Lebar / Kwetiau Spesial</t>
        </is>
      </c>
      <c r="C133" s="12">
        <f>C29*C62*25</f>
        <v/>
      </c>
      <c r="D133" s="12">
        <f>D29*D62*25</f>
        <v/>
      </c>
      <c r="E133" s="12">
        <f>E29*E62*25</f>
        <v/>
      </c>
      <c r="F133" s="12">
        <f>F29*F62*25</f>
        <v/>
      </c>
      <c r="G133" s="12">
        <f>G29*G62*25</f>
        <v/>
      </c>
    </row>
    <row r="134">
      <c r="B134" s="11" t="inlineStr">
        <is>
          <t>Swikiauw Homemade Kuah (5 pcs)</t>
        </is>
      </c>
      <c r="C134" s="12">
        <f>C30*C67*25</f>
        <v/>
      </c>
      <c r="D134" s="12">
        <f>D30*D67*25</f>
        <v/>
      </c>
      <c r="E134" s="12">
        <f>E30*E67*25</f>
        <v/>
      </c>
      <c r="F134" s="12">
        <f>F30*F67*25</f>
        <v/>
      </c>
      <c r="G134" s="12">
        <f>G30*G67*25</f>
        <v/>
      </c>
    </row>
    <row r="135">
      <c r="B135" s="11" t="inlineStr">
        <is>
          <t>Pangsit Rebus / Goreng (5 pcs)</t>
        </is>
      </c>
      <c r="C135" s="12">
        <f>C31*C72*25</f>
        <v/>
      </c>
      <c r="D135" s="12">
        <f>D31*D72*25</f>
        <v/>
      </c>
      <c r="E135" s="12">
        <f>E31*E72*25</f>
        <v/>
      </c>
      <c r="F135" s="12">
        <f>F31*F72*25</f>
        <v/>
      </c>
      <c r="G135" s="12">
        <f>G31*G72*25</f>
        <v/>
      </c>
    </row>
    <row r="136">
      <c r="B136" s="11" t="inlineStr">
        <is>
          <t>Es Jeruk Sonkit Kietna</t>
        </is>
      </c>
      <c r="C136" s="12">
        <f>C32*C77*25</f>
        <v/>
      </c>
      <c r="D136" s="12">
        <f>D32*D77*25</f>
        <v/>
      </c>
      <c r="E136" s="12">
        <f>E32*E77*25</f>
        <v/>
      </c>
      <c r="F136" s="12">
        <f>F32*F77*25</f>
        <v/>
      </c>
      <c r="G136" s="12">
        <f>G32*G77*25</f>
        <v/>
      </c>
    </row>
    <row r="137">
      <c r="B137" s="11" t="inlineStr">
        <is>
          <t>Es Liang Teh Herbal Medan</t>
        </is>
      </c>
      <c r="C137" s="12">
        <f>C33*C82*25</f>
        <v/>
      </c>
      <c r="D137" s="12">
        <f>D33*D82*25</f>
        <v/>
      </c>
      <c r="E137" s="12">
        <f>E33*E82*25</f>
        <v/>
      </c>
      <c r="F137" s="12">
        <f>F33*F82*25</f>
        <v/>
      </c>
      <c r="G137" s="12">
        <f>G33*G82*25</f>
        <v/>
      </c>
    </row>
    <row r="138">
      <c r="B138" s="11" t="inlineStr">
        <is>
          <t>Es Teh Manis</t>
        </is>
      </c>
      <c r="C138" s="12">
        <f>C34*C87*25</f>
        <v/>
      </c>
      <c r="D138" s="12">
        <f>D34*D87*25</f>
        <v/>
      </c>
      <c r="E138" s="12">
        <f>E34*E87*25</f>
        <v/>
      </c>
      <c r="F138" s="12">
        <f>F34*F87*25</f>
        <v/>
      </c>
      <c r="G138" s="12">
        <f>G34*G87*25</f>
        <v/>
      </c>
    </row>
    <row r="139">
      <c r="B139" s="11" t="inlineStr">
        <is>
          <t>Badak Sarsaparilla</t>
        </is>
      </c>
      <c r="C139" s="12">
        <f>C35*C92*25</f>
        <v/>
      </c>
      <c r="D139" s="12">
        <f>D35*D92*25</f>
        <v/>
      </c>
      <c r="E139" s="12">
        <f>E35*E92*25</f>
        <v/>
      </c>
      <c r="F139" s="12">
        <f>F35*F92*25</f>
        <v/>
      </c>
      <c r="G139" s="12">
        <f>G35*G92*25</f>
        <v/>
      </c>
    </row>
    <row r="140">
      <c r="B140" s="11" t="inlineStr">
        <is>
          <t>Air Mineral Botol</t>
        </is>
      </c>
      <c r="C140" s="12">
        <f>C36*C97*25</f>
        <v/>
      </c>
      <c r="D140" s="12">
        <f>D36*D97*25</f>
        <v/>
      </c>
      <c r="E140" s="12">
        <f>E36*E97*25</f>
        <v/>
      </c>
      <c r="F140" s="12">
        <f>F36*F97*25</f>
        <v/>
      </c>
      <c r="G140" s="12">
        <f>G36*G97*25</f>
        <v/>
      </c>
    </row>
    <row r="141"/>
    <row r="142"/>
    <row r="143"/>
    <row r="144"/>
    <row r="145"/>
    <row r="146"/>
    <row r="147"/>
    <row r="148"/>
    <row r="149">
      <c r="B149" s="11" t="inlineStr">
        <is>
          <t>Bakmi Spesial Campur (Ayam &amp; Babi)</t>
        </is>
      </c>
      <c r="C149" s="12">
        <f>C130*12</f>
        <v/>
      </c>
      <c r="D149" s="12">
        <f>D130*12</f>
        <v/>
      </c>
      <c r="E149" s="12">
        <f>E130*12</f>
        <v/>
      </c>
      <c r="F149" s="12">
        <f>F130*12</f>
        <v/>
      </c>
      <c r="G149" s="12">
        <f>G130*12</f>
        <v/>
      </c>
    </row>
    <row r="150">
      <c r="B150" s="11" t="inlineStr">
        <is>
          <t>Bakmi Daging Babi Casiu</t>
        </is>
      </c>
      <c r="C150" s="12">
        <f>C131*12</f>
        <v/>
      </c>
      <c r="D150" s="12">
        <f>D131*12</f>
        <v/>
      </c>
      <c r="E150" s="12">
        <f>E131*12</f>
        <v/>
      </c>
      <c r="F150" s="12">
        <f>F131*12</f>
        <v/>
      </c>
      <c r="G150" s="12">
        <f>G131*12</f>
        <v/>
      </c>
    </row>
    <row r="151">
      <c r="B151" s="11" t="inlineStr">
        <is>
          <t>Bakmi Daging Ayam Jamur</t>
        </is>
      </c>
      <c r="C151" s="12">
        <f>C132*12</f>
        <v/>
      </c>
      <c r="D151" s="12">
        <f>D132*12</f>
        <v/>
      </c>
      <c r="E151" s="12">
        <f>E132*12</f>
        <v/>
      </c>
      <c r="F151" s="12">
        <f>F132*12</f>
        <v/>
      </c>
      <c r="G151" s="12">
        <f>G132*12</f>
        <v/>
      </c>
    </row>
    <row r="152">
      <c r="B152" s="11" t="inlineStr">
        <is>
          <t>Bakmi Lebar / Kwetiau Spesial</t>
        </is>
      </c>
      <c r="C152" s="12">
        <f>C133*12</f>
        <v/>
      </c>
      <c r="D152" s="12">
        <f>D133*12</f>
        <v/>
      </c>
      <c r="E152" s="12">
        <f>E133*12</f>
        <v/>
      </c>
      <c r="F152" s="12">
        <f>F133*12</f>
        <v/>
      </c>
      <c r="G152" s="12">
        <f>G133*12</f>
        <v/>
      </c>
    </row>
    <row r="153">
      <c r="B153" s="11" t="inlineStr">
        <is>
          <t>Swikiauw Homemade Kuah (5 pcs)</t>
        </is>
      </c>
      <c r="C153" s="12">
        <f>C134*12</f>
        <v/>
      </c>
      <c r="D153" s="12">
        <f>D134*12</f>
        <v/>
      </c>
      <c r="E153" s="12">
        <f>E134*12</f>
        <v/>
      </c>
      <c r="F153" s="12">
        <f>F134*12</f>
        <v/>
      </c>
      <c r="G153" s="12">
        <f>G134*12</f>
        <v/>
      </c>
    </row>
    <row r="154">
      <c r="B154" s="11" t="inlineStr">
        <is>
          <t>Pangsit Rebus / Goreng (5 pcs)</t>
        </is>
      </c>
      <c r="C154" s="12">
        <f>C135*12</f>
        <v/>
      </c>
      <c r="D154" s="12">
        <f>D135*12</f>
        <v/>
      </c>
      <c r="E154" s="12">
        <f>E135*12</f>
        <v/>
      </c>
      <c r="F154" s="12">
        <f>F135*12</f>
        <v/>
      </c>
      <c r="G154" s="12">
        <f>G135*12</f>
        <v/>
      </c>
    </row>
    <row r="155">
      <c r="B155" s="11" t="inlineStr">
        <is>
          <t>Es Jeruk Sonkit Kietna</t>
        </is>
      </c>
      <c r="C155" s="12">
        <f>C136*12</f>
        <v/>
      </c>
      <c r="D155" s="12">
        <f>D136*12</f>
        <v/>
      </c>
      <c r="E155" s="12">
        <f>E136*12</f>
        <v/>
      </c>
      <c r="F155" s="12">
        <f>F136*12</f>
        <v/>
      </c>
      <c r="G155" s="12">
        <f>G136*12</f>
        <v/>
      </c>
    </row>
    <row r="156">
      <c r="B156" s="11" t="inlineStr">
        <is>
          <t>Es Liang Teh Herbal Medan</t>
        </is>
      </c>
      <c r="C156" s="12">
        <f>C137*12</f>
        <v/>
      </c>
      <c r="D156" s="12">
        <f>D137*12</f>
        <v/>
      </c>
      <c r="E156" s="12">
        <f>E137*12</f>
        <v/>
      </c>
      <c r="F156" s="12">
        <f>F137*12</f>
        <v/>
      </c>
      <c r="G156" s="12">
        <f>G137*12</f>
        <v/>
      </c>
    </row>
    <row r="157">
      <c r="B157" s="11" t="inlineStr">
        <is>
          <t>Es Teh Manis</t>
        </is>
      </c>
      <c r="C157" s="12">
        <f>C138*12</f>
        <v/>
      </c>
      <c r="D157" s="12">
        <f>D138*12</f>
        <v/>
      </c>
      <c r="E157" s="12">
        <f>E138*12</f>
        <v/>
      </c>
      <c r="F157" s="12">
        <f>F138*12</f>
        <v/>
      </c>
      <c r="G157" s="12">
        <f>G138*12</f>
        <v/>
      </c>
    </row>
    <row r="158">
      <c r="B158" s="11" t="inlineStr">
        <is>
          <t>Badak Sarsaparilla</t>
        </is>
      </c>
      <c r="C158" s="12">
        <f>C139*12</f>
        <v/>
      </c>
      <c r="D158" s="12">
        <f>D139*12</f>
        <v/>
      </c>
      <c r="E158" s="12">
        <f>E139*12</f>
        <v/>
      </c>
      <c r="F158" s="12">
        <f>F139*12</f>
        <v/>
      </c>
      <c r="G158" s="12">
        <f>G139*12</f>
        <v/>
      </c>
    </row>
    <row r="159">
      <c r="B159" s="11" t="inlineStr">
        <is>
          <t>Air Mineral Botol</t>
        </is>
      </c>
      <c r="C159" s="12">
        <f>C140*12</f>
        <v/>
      </c>
      <c r="D159" s="12">
        <f>D140*12</f>
        <v/>
      </c>
      <c r="E159" s="12">
        <f>E140*12</f>
        <v/>
      </c>
      <c r="F159" s="12">
        <f>F140*12</f>
        <v/>
      </c>
      <c r="G159" s="12">
        <f>G140*12</f>
        <v/>
      </c>
    </row>
    <row r="160"/>
    <row r="161"/>
    <row r="162"/>
    <row r="163"/>
    <row r="164"/>
    <row r="165">
      <c r="B165" s="1" t="inlineStr">
        <is>
          <t>CASH OUTFLOW</t>
        </is>
      </c>
    </row>
    <row r="166">
      <c r="B166" s="9" t="inlineStr">
        <is>
          <t>Cash Outflow</t>
        </is>
      </c>
      <c r="C166" s="9" t="inlineStr">
        <is>
          <t>Tahun 1</t>
        </is>
      </c>
      <c r="D166" s="9" t="inlineStr">
        <is>
          <t>Tahun 2</t>
        </is>
      </c>
      <c r="E166" s="9" t="inlineStr">
        <is>
          <t>Tahun 3</t>
        </is>
      </c>
      <c r="F166" s="9" t="inlineStr">
        <is>
          <t>Tahun 4</t>
        </is>
      </c>
      <c r="G166" s="9" t="inlineStr">
        <is>
          <t>Tahun 5</t>
        </is>
      </c>
    </row>
    <row r="167">
      <c r="B167" s="5" t="inlineStr">
        <is>
          <t>Gaji Karyawan</t>
        </is>
      </c>
      <c r="C167" s="6">
        <f>C199</f>
        <v/>
      </c>
      <c r="D167" s="6">
        <f>D199</f>
        <v/>
      </c>
      <c r="E167" s="6">
        <f>E199</f>
        <v/>
      </c>
      <c r="F167" s="6">
        <f>F199</f>
        <v/>
      </c>
      <c r="G167" s="6">
        <f>G199</f>
        <v/>
      </c>
    </row>
    <row r="168">
      <c r="B168" s="5" t="inlineStr">
        <is>
          <t>Pembelian bahan baku</t>
        </is>
      </c>
      <c r="C168" s="6">
        <f>C257</f>
        <v/>
      </c>
      <c r="D168" s="6">
        <f>D257</f>
        <v/>
      </c>
      <c r="E168" s="6">
        <f>E257</f>
        <v/>
      </c>
      <c r="F168" s="6">
        <f>F257</f>
        <v/>
      </c>
      <c r="G168" s="6">
        <f>G257</f>
        <v/>
      </c>
    </row>
    <row r="169">
      <c r="B169" s="5" t="inlineStr">
        <is>
          <t>Listrik</t>
        </is>
      </c>
      <c r="C169" s="6">
        <f>C268</f>
        <v/>
      </c>
      <c r="D169" s="6">
        <f>D268</f>
        <v/>
      </c>
      <c r="E169" s="6">
        <f>E268</f>
        <v/>
      </c>
      <c r="F169" s="6">
        <f>F268</f>
        <v/>
      </c>
      <c r="G169" s="6">
        <f>G268</f>
        <v/>
      </c>
    </row>
    <row r="170">
      <c r="B170" s="5" t="inlineStr">
        <is>
          <t>Isi ulang tabung gas</t>
        </is>
      </c>
      <c r="C170" s="6">
        <f>35000*5*12</f>
        <v/>
      </c>
      <c r="D170" s="6">
        <f>35000*5*12</f>
        <v/>
      </c>
      <c r="E170" s="6">
        <f>35000*5*12</f>
        <v/>
      </c>
      <c r="F170" s="6">
        <f>35000*5*12</f>
        <v/>
      </c>
      <c r="G170" s="6">
        <f>35000*5*12</f>
        <v/>
      </c>
    </row>
    <row r="171">
      <c r="B171" s="5" t="inlineStr">
        <is>
          <t>Air</t>
        </is>
      </c>
      <c r="C171" s="6">
        <f>C279</f>
        <v/>
      </c>
      <c r="D171" s="6">
        <f>D279</f>
        <v/>
      </c>
      <c r="E171" s="6">
        <f>E279</f>
        <v/>
      </c>
      <c r="F171" s="6">
        <f>F279</f>
        <v/>
      </c>
      <c r="G171" s="6">
        <f>G279</f>
        <v/>
      </c>
    </row>
    <row r="172">
      <c r="B172" s="5" t="inlineStr">
        <is>
          <t>Air minum</t>
        </is>
      </c>
      <c r="C172" s="6">
        <f>C290</f>
        <v/>
      </c>
      <c r="D172" s="6">
        <f>D290</f>
        <v/>
      </c>
      <c r="E172" s="6">
        <f>E290</f>
        <v/>
      </c>
      <c r="F172" s="6">
        <f>F290</f>
        <v/>
      </c>
      <c r="G172" s="6">
        <f>G290</f>
        <v/>
      </c>
    </row>
    <row r="173">
      <c r="B173" s="3" t="inlineStr">
        <is>
          <t>Total</t>
        </is>
      </c>
      <c r="C173" s="4">
        <f>SUM(C167:C172)</f>
        <v/>
      </c>
      <c r="D173" s="4">
        <f>SUM(D167:D172)</f>
        <v/>
      </c>
      <c r="E173" s="4">
        <f>SUM(E167:E172)</f>
        <v/>
      </c>
      <c r="F173" s="4">
        <f>SUM(F167:F172)</f>
        <v/>
      </c>
      <c r="G173" s="4">
        <f>SUM(G167:G172)</f>
        <v/>
      </c>
    </row>
    <row r="174"/>
    <row r="175"/>
    <row r="176">
      <c r="B176" s="10" t="inlineStr">
        <is>
          <t>Perincian Gaji Karyawan</t>
        </is>
      </c>
      <c r="C176" s="14" t="inlineStr">
        <is>
          <t>Jumlah Karyawan</t>
        </is>
      </c>
      <c r="D176" s="14" t="inlineStr">
        <is>
          <t>Gaji Bulanan</t>
        </is>
      </c>
      <c r="E176" s="14" t="inlineStr">
        <is>
          <t>Total Gaji Tahunan</t>
        </is>
      </c>
    </row>
    <row r="177">
      <c r="B177" s="11" t="inlineStr">
        <is>
          <t>Manajer Kedai</t>
        </is>
      </c>
      <c r="C177" s="15" t="n">
        <v>1</v>
      </c>
      <c r="D177" s="12" t="n">
        <v>6000000</v>
      </c>
      <c r="E177" s="12">
        <f>C177*D177*12</f>
        <v/>
      </c>
    </row>
    <row r="178">
      <c r="B178" s="11" t="inlineStr">
        <is>
          <t>Kepala Dapur / Koki Utama</t>
        </is>
      </c>
      <c r="C178" s="15" t="n">
        <v>1</v>
      </c>
      <c r="D178" s="12" t="n">
        <v>5500000</v>
      </c>
      <c r="E178" s="12">
        <f>C178*D178*12</f>
        <v/>
      </c>
    </row>
    <row r="179">
      <c r="B179" s="11" t="inlineStr">
        <is>
          <t>Asisten Koki &amp; Swikiauw</t>
        </is>
      </c>
      <c r="C179" s="15" t="n">
        <v>1</v>
      </c>
      <c r="D179" s="12" t="n">
        <v>4900000</v>
      </c>
      <c r="E179" s="12">
        <f>C179*D179*12</f>
        <v/>
      </c>
    </row>
    <row r="180">
      <c r="B180" s="11" t="inlineStr">
        <is>
          <t>Kasir</t>
        </is>
      </c>
      <c r="C180" s="15" t="n">
        <v>1</v>
      </c>
      <c r="D180" s="12" t="n">
        <v>4900000</v>
      </c>
      <c r="E180" s="12">
        <f>C180*D180*12</f>
        <v/>
      </c>
    </row>
    <row r="181">
      <c r="B181" s="11" t="inlineStr">
        <is>
          <t>Pramusaji / Pelayan</t>
        </is>
      </c>
      <c r="C181" s="15" t="n">
        <v>2</v>
      </c>
      <c r="D181" s="12" t="n">
        <v>4700000</v>
      </c>
      <c r="E181" s="12">
        <f>C181*D181*12</f>
        <v/>
      </c>
    </row>
    <row r="182">
      <c r="B182" s="11" t="inlineStr">
        <is>
          <t>Stock &amp; Delivery Man</t>
        </is>
      </c>
      <c r="C182" s="15" t="n">
        <v>1</v>
      </c>
      <c r="D182" s="12" t="n">
        <v>4800000</v>
      </c>
      <c r="E182" s="12">
        <f>C182*D182*12</f>
        <v/>
      </c>
    </row>
    <row r="183">
      <c r="B183" s="10" t="inlineStr">
        <is>
          <t>Total Gaji</t>
        </is>
      </c>
      <c r="E183" s="16">
        <f>SUM(E177:E182)</f>
        <v/>
      </c>
    </row>
    <row r="184"/>
    <row r="185"/>
    <row r="186">
      <c r="B186" s="10" t="inlineStr">
        <is>
          <t>Gaji Karyawan Tahunan (Kenaikan per tahun)</t>
        </is>
      </c>
    </row>
    <row r="187">
      <c r="B187" s="11" t="inlineStr">
        <is>
          <t>Total Gaji</t>
        </is>
      </c>
      <c r="C187" s="12">
        <f>E183</f>
        <v/>
      </c>
      <c r="D187" s="12">
        <f>C187*(1+D188)</f>
        <v/>
      </c>
      <c r="E187" s="12">
        <f>D187*(1+E188)</f>
        <v/>
      </c>
      <c r="F187" s="12">
        <f>E187*(1+F188)</f>
        <v/>
      </c>
      <c r="G187" s="12">
        <f>F187*(1+G188)</f>
        <v/>
      </c>
    </row>
    <row r="188">
      <c r="D188" s="13" t="n">
        <v>0.12</v>
      </c>
      <c r="E188" s="13" t="n">
        <v>0.14</v>
      </c>
      <c r="F188" s="13" t="n">
        <v>0.16</v>
      </c>
      <c r="G188" s="13" t="n">
        <v>0.18</v>
      </c>
    </row>
    <row r="189"/>
    <row r="190"/>
    <row r="191"/>
    <row r="192"/>
    <row r="193"/>
    <row r="194"/>
    <row r="195"/>
    <row r="196"/>
    <row r="197"/>
    <row r="198"/>
    <row r="199">
      <c r="B199" s="10" t="inlineStr">
        <is>
          <t>Gaji Summary</t>
        </is>
      </c>
      <c r="C199" s="12">
        <f>C187</f>
        <v/>
      </c>
      <c r="D199" s="12">
        <f>D187</f>
        <v/>
      </c>
      <c r="E199" s="12">
        <f>E187</f>
        <v/>
      </c>
      <c r="F199" s="12">
        <f>F187</f>
        <v/>
      </c>
      <c r="G199" s="12">
        <f>G187</f>
        <v/>
      </c>
    </row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>
      <c r="B250" s="11" t="inlineStr">
        <is>
          <t>Biaya bahan baku bulanan</t>
        </is>
      </c>
      <c r="C250" s="12" t="n">
        <v>28500000</v>
      </c>
    </row>
    <row r="251">
      <c r="B251" s="11" t="inlineStr">
        <is>
          <t>Biaya bahan baku tahunan</t>
        </is>
      </c>
      <c r="C251" s="12">
        <f>C250*12</f>
        <v/>
      </c>
    </row>
    <row r="252"/>
    <row r="253"/>
    <row r="254">
      <c r="B254" s="10" t="inlineStr">
        <is>
          <t>Kenaikan bahan baku per tahun</t>
        </is>
      </c>
    </row>
    <row r="255">
      <c r="C255" s="12">
        <f>C251</f>
        <v/>
      </c>
      <c r="D255" s="12">
        <f>C257</f>
        <v/>
      </c>
      <c r="E255" s="12">
        <f>D257</f>
        <v/>
      </c>
      <c r="F255" s="12">
        <f>E257</f>
        <v/>
      </c>
      <c r="G255" s="12">
        <f>F257</f>
        <v/>
      </c>
    </row>
    <row r="256">
      <c r="D256" s="13" t="n">
        <v>0.15</v>
      </c>
      <c r="E256" s="13" t="n">
        <v>0.18</v>
      </c>
      <c r="F256" s="13" t="n">
        <v>0.21</v>
      </c>
      <c r="G256" s="13" t="n">
        <v>0.24</v>
      </c>
    </row>
    <row r="257">
      <c r="C257" s="12">
        <f>C255</f>
        <v/>
      </c>
      <c r="D257" s="12">
        <f>D255*(1+D256)</f>
        <v/>
      </c>
      <c r="E257" s="12">
        <f>E255*(1+E256)</f>
        <v/>
      </c>
      <c r="F257" s="12">
        <f>F255*(1+F256)</f>
        <v/>
      </c>
      <c r="G257" s="12">
        <f>G255*(1+G256)</f>
        <v/>
      </c>
    </row>
    <row r="258"/>
    <row r="259"/>
    <row r="260">
      <c r="B260" s="11" t="inlineStr">
        <is>
          <t>Penggunaan listrik bulanan</t>
        </is>
      </c>
      <c r="C260" s="12" t="n">
        <v>2800000</v>
      </c>
    </row>
    <row r="261">
      <c r="B261" s="11" t="inlineStr">
        <is>
          <t>Penggunaan listrik tahunan</t>
        </is>
      </c>
      <c r="C261" s="12">
        <f>C260*12</f>
        <v/>
      </c>
    </row>
    <row r="262"/>
    <row r="263"/>
    <row r="264"/>
    <row r="265"/>
    <row r="266">
      <c r="C266" s="12">
        <f>C261</f>
        <v/>
      </c>
      <c r="D266" s="12">
        <f>C268</f>
        <v/>
      </c>
      <c r="E266" s="12">
        <f>D268</f>
        <v/>
      </c>
      <c r="F266" s="12">
        <f>E268</f>
        <v/>
      </c>
      <c r="G266" s="12">
        <f>F268</f>
        <v/>
      </c>
    </row>
    <row r="267">
      <c r="D267" s="13" t="n">
        <v>0.12</v>
      </c>
      <c r="E267" s="13" t="n">
        <v>0.14</v>
      </c>
      <c r="F267" s="13" t="n">
        <v>0.16</v>
      </c>
      <c r="G267" s="13" t="n">
        <v>0.18</v>
      </c>
    </row>
    <row r="268">
      <c r="C268" s="12">
        <f>C266</f>
        <v/>
      </c>
      <c r="D268" s="12">
        <f>D266*(1+D267)</f>
        <v/>
      </c>
      <c r="E268" s="12">
        <f>E266*(1+E267)</f>
        <v/>
      </c>
      <c r="F268" s="12">
        <f>F266*(1+F267)</f>
        <v/>
      </c>
      <c r="G268" s="12">
        <f>G266*(1+G267)</f>
        <v/>
      </c>
    </row>
    <row r="269"/>
    <row r="270"/>
    <row r="271">
      <c r="B271" s="11" t="inlineStr">
        <is>
          <t>Penggunaan air bulanan</t>
        </is>
      </c>
      <c r="C271" s="12" t="n">
        <v>850000</v>
      </c>
    </row>
    <row r="272">
      <c r="B272" s="11" t="inlineStr">
        <is>
          <t>Penggunaan air tahunan</t>
        </is>
      </c>
      <c r="C272" s="12">
        <f>C271*12</f>
        <v/>
      </c>
    </row>
    <row r="273"/>
    <row r="274"/>
    <row r="275"/>
    <row r="276"/>
    <row r="277">
      <c r="C277" s="12">
        <f>C272</f>
        <v/>
      </c>
      <c r="D277" s="12">
        <f>C279</f>
        <v/>
      </c>
      <c r="E277" s="12">
        <f>D279</f>
        <v/>
      </c>
      <c r="F277" s="12">
        <f>E279</f>
        <v/>
      </c>
      <c r="G277" s="12">
        <f>F279</f>
        <v/>
      </c>
    </row>
    <row r="278">
      <c r="D278" s="13" t="n">
        <v>0.12</v>
      </c>
      <c r="E278" s="13" t="n">
        <v>0.14</v>
      </c>
      <c r="F278" s="13" t="n">
        <v>0.16</v>
      </c>
      <c r="G278" s="13" t="n">
        <v>0.18</v>
      </c>
    </row>
    <row r="279">
      <c r="C279" s="12">
        <f>C277</f>
        <v/>
      </c>
      <c r="D279" s="12">
        <f>D277*(1+D278)</f>
        <v/>
      </c>
      <c r="E279" s="12">
        <f>E277*(1+E278)</f>
        <v/>
      </c>
      <c r="F279" s="12">
        <f>F277*(1+F278)</f>
        <v/>
      </c>
      <c r="G279" s="12">
        <f>G277*(1+G278)</f>
        <v/>
      </c>
    </row>
    <row r="280"/>
    <row r="281"/>
    <row r="282"/>
    <row r="283">
      <c r="B283" s="11" t="inlineStr">
        <is>
          <t>Air Minum Galon Bulanan</t>
        </is>
      </c>
      <c r="C283" s="12" t="n">
        <v>1000000</v>
      </c>
    </row>
    <row r="284">
      <c r="B284" s="11" t="inlineStr">
        <is>
          <t>Air Minum Galon Tahunan</t>
        </is>
      </c>
      <c r="C284" s="12">
        <f>C283*12</f>
        <v/>
      </c>
    </row>
    <row r="285"/>
    <row r="286"/>
    <row r="287"/>
    <row r="288">
      <c r="C288" s="12" t="n">
        <v>20000</v>
      </c>
      <c r="D288" s="12" t="n">
        <v>20000</v>
      </c>
      <c r="E288" s="12" t="n">
        <v>20000</v>
      </c>
      <c r="F288" s="12" t="n">
        <v>20000</v>
      </c>
      <c r="G288" s="12" t="n">
        <v>20000</v>
      </c>
    </row>
    <row r="289">
      <c r="C289" s="15" t="n">
        <v>600</v>
      </c>
      <c r="D289" s="15">
        <f>C289+15</f>
        <v/>
      </c>
      <c r="E289" s="15">
        <f>D289+15</f>
        <v/>
      </c>
      <c r="F289" s="15">
        <f>E289+15</f>
        <v/>
      </c>
      <c r="G289" s="15">
        <f>F289+15</f>
        <v/>
      </c>
    </row>
    <row r="290">
      <c r="C290" s="12">
        <f>C288*C289</f>
        <v/>
      </c>
      <c r="D290" s="12">
        <f>D288*D289</f>
        <v/>
      </c>
      <c r="E290" s="12">
        <f>E288*E289</f>
        <v/>
      </c>
      <c r="F290" s="12">
        <f>F288*F289</f>
        <v/>
      </c>
      <c r="G290" s="12">
        <f>G288*G289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4" customWidth="1" min="4" max="4"/>
    <col width="25" customWidth="1" min="5" max="5"/>
  </cols>
  <sheetData>
    <row r="1"/>
    <row r="2"/>
    <row r="3">
      <c r="B3" s="1" t="inlineStr">
        <is>
          <t>Initial Outlay</t>
        </is>
      </c>
    </row>
    <row r="4">
      <c r="B4" s="5" t="inlineStr">
        <is>
          <t>Aktiva Tetap</t>
        </is>
      </c>
      <c r="C4" s="6">
        <f>Sheet1!C14</f>
        <v/>
      </c>
    </row>
    <row r="5">
      <c r="B5" s="5" t="inlineStr">
        <is>
          <t>Biaya Sewa</t>
        </is>
      </c>
      <c r="C5" s="6">
        <f>Sheet1!C15</f>
        <v/>
      </c>
    </row>
    <row r="6">
      <c r="B6" s="5" t="inlineStr">
        <is>
          <t>Biaya Amdal</t>
        </is>
      </c>
      <c r="C6" s="6">
        <f>Sheet1!C16</f>
        <v/>
      </c>
    </row>
    <row r="7">
      <c r="B7" s="5" t="inlineStr">
        <is>
          <t>Biaya Survey</t>
        </is>
      </c>
      <c r="C7" s="6">
        <f>Sheet1!C17</f>
        <v/>
      </c>
    </row>
    <row r="8">
      <c r="B8" s="5" t="inlineStr">
        <is>
          <t>Biaya Iklan</t>
        </is>
      </c>
      <c r="C8" s="6">
        <f>Sheet1!C18</f>
        <v/>
      </c>
    </row>
    <row r="9">
      <c r="B9" s="3" t="inlineStr">
        <is>
          <t>Total</t>
        </is>
      </c>
      <c r="C9" s="4">
        <f>SUM(C4:C8)</f>
        <v/>
      </c>
    </row>
    <row r="10"/>
    <row r="11"/>
    <row r="12">
      <c r="B12" s="17" t="inlineStr">
        <is>
          <t>Tahun</t>
        </is>
      </c>
      <c r="C12" s="17" t="inlineStr">
        <is>
          <t>Laba / Proceed</t>
        </is>
      </c>
    </row>
    <row r="13">
      <c r="B13" s="18" t="n">
        <v>1</v>
      </c>
      <c r="C13" s="6">
        <f>Sheet1!D10</f>
        <v/>
      </c>
    </row>
    <row r="14">
      <c r="B14" s="18" t="n">
        <v>2</v>
      </c>
      <c r="C14" s="6">
        <f>Sheet1!E10</f>
        <v/>
      </c>
    </row>
    <row r="15">
      <c r="B15" s="18" t="n">
        <v>3</v>
      </c>
      <c r="C15" s="6">
        <f>Sheet1!F10</f>
        <v/>
      </c>
    </row>
    <row r="16">
      <c r="B16" s="18" t="n">
        <v>4</v>
      </c>
      <c r="C16" s="6">
        <f>Sheet1!G10</f>
        <v/>
      </c>
    </row>
    <row r="17">
      <c r="B17" s="18" t="n">
        <v>5</v>
      </c>
      <c r="C17" s="6">
        <f>Sheet1!H10</f>
        <v/>
      </c>
    </row>
    <row r="18"/>
    <row r="19">
      <c r="B19" s="10" t="inlineStr">
        <is>
          <t>Opportunity Cost</t>
        </is>
      </c>
      <c r="C19" s="13" t="n">
        <v>0.2</v>
      </c>
    </row>
    <row r="20"/>
    <row r="21"/>
    <row r="22"/>
    <row r="23"/>
    <row r="24"/>
    <row r="25"/>
    <row r="26">
      <c r="B26" s="1" t="inlineStr">
        <is>
          <t>NPV</t>
        </is>
      </c>
    </row>
    <row r="27">
      <c r="B27" s="9" t="inlineStr">
        <is>
          <t>Tahun</t>
        </is>
      </c>
      <c r="C27" s="9" t="inlineStr">
        <is>
          <t>Cashflow</t>
        </is>
      </c>
      <c r="D27" s="9" t="inlineStr">
        <is>
          <t>Present Value (PV)</t>
        </is>
      </c>
    </row>
    <row r="28">
      <c r="B28" s="8" t="n">
        <v>0</v>
      </c>
      <c r="C28" s="6">
        <f>-C9</f>
        <v/>
      </c>
      <c r="D28" s="6">
        <f>PV($C$19,B28,,-C28,)</f>
        <v/>
      </c>
    </row>
    <row r="29">
      <c r="B29" s="8" t="n">
        <v>1</v>
      </c>
      <c r="C29" s="6">
        <f>C13</f>
        <v/>
      </c>
      <c r="D29" s="6">
        <f>PV($C$19,B29,,-C29,)</f>
        <v/>
      </c>
    </row>
    <row r="30">
      <c r="B30" s="8" t="n">
        <v>2</v>
      </c>
      <c r="C30" s="6">
        <f>C14</f>
        <v/>
      </c>
      <c r="D30" s="6">
        <f>PV($C$19,B30,,-C30,)</f>
        <v/>
      </c>
    </row>
    <row r="31">
      <c r="B31" s="8" t="n">
        <v>3</v>
      </c>
      <c r="C31" s="6">
        <f>C15</f>
        <v/>
      </c>
      <c r="D31" s="6">
        <f>PV($C$19,B31,,-C31,)</f>
        <v/>
      </c>
    </row>
    <row r="32">
      <c r="B32" s="8" t="n">
        <v>4</v>
      </c>
      <c r="C32" s="6">
        <f>C16</f>
        <v/>
      </c>
      <c r="D32" s="6">
        <f>PV($C$19,B32,,-C32,)</f>
        <v/>
      </c>
    </row>
    <row r="33">
      <c r="B33" s="8" t="n">
        <v>5</v>
      </c>
      <c r="C33" s="6">
        <f>C17</f>
        <v/>
      </c>
      <c r="D33" s="6">
        <f>PV($C$19,B33,,-C33,)</f>
        <v/>
      </c>
    </row>
    <row r="34">
      <c r="B34" s="3" t="inlineStr">
        <is>
          <t>NPV</t>
        </is>
      </c>
      <c r="D34" s="4">
        <f>SUM(D28:D33)</f>
        <v/>
      </c>
    </row>
    <row r="35"/>
    <row r="36">
      <c r="B36" s="1" t="inlineStr">
        <is>
          <t>IRR</t>
        </is>
      </c>
    </row>
    <row r="37">
      <c r="B37" s="17" t="inlineStr">
        <is>
          <t>Tahun</t>
        </is>
      </c>
      <c r="C37" s="17" t="inlineStr">
        <is>
          <t>Cashflow</t>
        </is>
      </c>
    </row>
    <row r="38">
      <c r="B38" s="15" t="n">
        <v>0</v>
      </c>
      <c r="C38" s="12">
        <f>C28</f>
        <v/>
      </c>
    </row>
    <row r="39">
      <c r="B39" s="18" t="n">
        <v>1</v>
      </c>
      <c r="C39" s="19">
        <f>C29</f>
        <v/>
      </c>
    </row>
    <row r="40">
      <c r="B40" s="18" t="n">
        <v>2</v>
      </c>
      <c r="C40" s="19">
        <f>C30</f>
        <v/>
      </c>
    </row>
    <row r="41">
      <c r="B41" s="18" t="n">
        <v>3</v>
      </c>
      <c r="C41" s="19">
        <f>C31</f>
        <v/>
      </c>
    </row>
    <row r="42">
      <c r="B42" s="18" t="n">
        <v>4</v>
      </c>
      <c r="C42" s="19">
        <f>C32</f>
        <v/>
      </c>
    </row>
    <row r="43">
      <c r="B43" s="18" t="n">
        <v>5</v>
      </c>
      <c r="C43" s="19">
        <f>C33</f>
        <v/>
      </c>
    </row>
    <row r="44">
      <c r="B44" s="3" t="inlineStr">
        <is>
          <t>IRR</t>
        </is>
      </c>
      <c r="C44" s="20">
        <f>IRR(C38:C43)</f>
        <v/>
      </c>
    </row>
    <row r="45"/>
    <row r="46">
      <c r="B46" s="1" t="inlineStr">
        <is>
          <t>Payback Period</t>
        </is>
      </c>
    </row>
    <row r="47">
      <c r="B47" s="9" t="inlineStr">
        <is>
          <t>Tahun</t>
        </is>
      </c>
      <c r="C47" s="9" t="inlineStr">
        <is>
          <t>Cashflow</t>
        </is>
      </c>
      <c r="D47" s="9" t="inlineStr">
        <is>
          <t>Akumulasi</t>
        </is>
      </c>
      <c r="E47" s="9" t="inlineStr">
        <is>
          <t>Payback Period (Bulan)</t>
        </is>
      </c>
    </row>
    <row r="48">
      <c r="B48" s="8" t="n">
        <v>0</v>
      </c>
      <c r="C48" s="6">
        <f>C38</f>
        <v/>
      </c>
      <c r="D48" s="6">
        <f>C48</f>
        <v/>
      </c>
      <c r="E48" s="5" t="n"/>
    </row>
    <row r="49">
      <c r="B49" s="8" t="n">
        <v>1</v>
      </c>
      <c r="C49" s="6">
        <f>C39</f>
        <v/>
      </c>
      <c r="D49" s="6">
        <f>D48+C49</f>
        <v/>
      </c>
      <c r="E49" s="21">
        <f>-D48/(C49/12)</f>
        <v/>
      </c>
    </row>
    <row r="50">
      <c r="B50" s="8" t="n">
        <v>2</v>
      </c>
      <c r="C50" s="6">
        <f>C40</f>
        <v/>
      </c>
      <c r="D50" s="6">
        <f>D49+C50</f>
        <v/>
      </c>
      <c r="E50" s="5" t="n"/>
    </row>
    <row r="51">
      <c r="B51" s="8" t="n">
        <v>3</v>
      </c>
      <c r="C51" s="6">
        <f>C41</f>
        <v/>
      </c>
      <c r="D51" s="6">
        <f>D50+C51</f>
        <v/>
      </c>
      <c r="E51" s="5" t="n"/>
    </row>
    <row r="52">
      <c r="B52" s="8" t="n">
        <v>4</v>
      </c>
      <c r="C52" s="6">
        <f>C42</f>
        <v/>
      </c>
      <c r="D52" s="6">
        <f>D51+C52</f>
        <v/>
      </c>
      <c r="E52" s="5" t="n"/>
    </row>
    <row r="53">
      <c r="B53" s="8" t="n">
        <v>5</v>
      </c>
      <c r="C53" s="6">
        <f>C43</f>
        <v/>
      </c>
      <c r="D53" s="6">
        <f>D52+C53</f>
        <v/>
      </c>
      <c r="E53" s="5" t="n"/>
    </row>
    <row r="54"/>
    <row r="55">
      <c r="B55" s="3" t="inlineStr">
        <is>
          <t>Profitability Index</t>
        </is>
      </c>
      <c r="C55" s="22">
        <f>SUM(C49:C53)/-C48</f>
        <v/>
      </c>
    </row>
    <row r="56"/>
    <row r="57"/>
    <row r="58">
      <c r="B58" s="9" t="inlineStr">
        <is>
          <t>Kesimpulan</t>
        </is>
      </c>
      <c r="C58" s="9" t="inlineStr">
        <is>
          <t>Hasil</t>
        </is>
      </c>
      <c r="D58" s="9" t="inlineStr">
        <is>
          <t>Target</t>
        </is>
      </c>
      <c r="E58" s="9" t="inlineStr">
        <is>
          <t>Kelayakan</t>
        </is>
      </c>
    </row>
    <row r="59">
      <c r="B59" s="3" t="inlineStr">
        <is>
          <t>NPV</t>
        </is>
      </c>
      <c r="C59" s="4">
        <f>D34</f>
        <v/>
      </c>
      <c r="D59" s="5" t="inlineStr">
        <is>
          <t>Positif (&gt; 0)</t>
        </is>
      </c>
      <c r="E59" s="3" t="inlineStr">
        <is>
          <t>Layak</t>
        </is>
      </c>
    </row>
    <row r="60">
      <c r="B60" s="3" t="inlineStr">
        <is>
          <t>IRR</t>
        </is>
      </c>
      <c r="C60" s="20">
        <f>C44</f>
        <v/>
      </c>
      <c r="D60" s="5" t="inlineStr">
        <is>
          <t>&gt; 20%</t>
        </is>
      </c>
      <c r="E60" s="3" t="inlineStr">
        <is>
          <t>Layak</t>
        </is>
      </c>
    </row>
    <row r="61">
      <c r="B61" s="3" t="inlineStr">
        <is>
          <t>PP</t>
        </is>
      </c>
      <c r="C61" s="23">
        <f>E49</f>
        <v/>
      </c>
      <c r="D61" s="5" t="inlineStr">
        <is>
          <t>&lt; 3 Tahun (36 Bulan)</t>
        </is>
      </c>
      <c r="E61" s="3" t="inlineStr">
        <is>
          <t>Layak</t>
        </is>
      </c>
    </row>
    <row r="62">
      <c r="B62" s="3" t="inlineStr">
        <is>
          <t>PI</t>
        </is>
      </c>
      <c r="C62" s="22">
        <f>C55</f>
        <v/>
      </c>
      <c r="D62" s="5" t="inlineStr">
        <is>
          <t>&gt; 1.2</t>
        </is>
      </c>
      <c r="E62" s="3" t="inlineStr">
        <is>
          <t>Layak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2026-09-17T13:52:41Z</dcterms:created>
  <dcterms:modified xmlns:dcterms="http://purl.org/dc/terms/" xmlns:xsi="http://www.w3.org/2001/XMLSchema-instance" xsi:type="dcterms:W3CDTF">2026-09-17T13:52:41Z</dcterms:modified>
</cp:coreProperties>
</file>