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7\2. STUDI KELAYAKAN BISNIS (DOSEN)\"/>
    </mc:Choice>
  </mc:AlternateContent>
  <xr:revisionPtr revIDLastSave="0" documentId="13_ncr:1_{25BC6F6F-6702-4F27-A6D5-1B37D1C5D329}" xr6:coauthVersionLast="47" xr6:coauthVersionMax="47" xr10:uidLastSave="{00000000-0000-0000-0000-000000000000}"/>
  <bookViews>
    <workbookView xWindow="-120" yWindow="-120" windowWidth="20730" windowHeight="11040" xr2:uid="{D88E51D4-E641-41D1-ADE3-994E5629035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2" i="1" l="1"/>
  <c r="F65" i="1"/>
  <c r="F64" i="1"/>
  <c r="F63" i="1"/>
  <c r="F62" i="1"/>
  <c r="F61" i="1"/>
  <c r="F60" i="1"/>
  <c r="F59" i="1"/>
  <c r="G29" i="2"/>
  <c r="G39" i="2"/>
  <c r="E39" i="2"/>
  <c r="F38" i="2"/>
  <c r="G38" i="2" s="1"/>
  <c r="G37" i="2"/>
  <c r="G34" i="2"/>
  <c r="G26" i="2"/>
  <c r="F26" i="2"/>
  <c r="E26" i="2"/>
  <c r="D82" i="2"/>
  <c r="E77" i="2"/>
  <c r="E57" i="2"/>
  <c r="F36" i="2"/>
  <c r="F31" i="2"/>
  <c r="G31" i="2"/>
  <c r="D36" i="2"/>
  <c r="D39" i="2"/>
  <c r="F39" i="2" s="1"/>
  <c r="D38" i="2"/>
  <c r="E38" i="2" s="1"/>
  <c r="D37" i="2"/>
  <c r="E37" i="2" s="1"/>
  <c r="F37" i="2" s="1"/>
  <c r="E36" i="2"/>
  <c r="D34" i="2"/>
  <c r="E34" i="2" s="1"/>
  <c r="F34" i="2" s="1"/>
  <c r="D33" i="2"/>
  <c r="E33" i="2" s="1"/>
  <c r="F33" i="2" s="1"/>
  <c r="G33" i="2" s="1"/>
  <c r="D32" i="2"/>
  <c r="E32" i="2" s="1"/>
  <c r="F32" i="2" s="1"/>
  <c r="G32" i="2" s="1"/>
  <c r="D31" i="2"/>
  <c r="E31" i="2" s="1"/>
  <c r="D26" i="2"/>
  <c r="D27" i="2"/>
  <c r="E27" i="2" s="1"/>
  <c r="F27" i="2" s="1"/>
  <c r="D29" i="2"/>
  <c r="E29" i="2" s="1"/>
  <c r="F29" i="2" s="1"/>
  <c r="D28" i="2"/>
  <c r="E28" i="2" s="1"/>
  <c r="F28" i="2" s="1"/>
  <c r="G28" i="2" s="1"/>
  <c r="C168" i="2"/>
  <c r="F34" i="1"/>
  <c r="F30" i="1"/>
  <c r="F31" i="1"/>
  <c r="F32" i="1"/>
  <c r="F33" i="1"/>
  <c r="F28" i="1"/>
  <c r="F29" i="1"/>
  <c r="F58" i="1"/>
  <c r="F244" i="2"/>
  <c r="F57" i="1"/>
  <c r="F56" i="1"/>
  <c r="F55" i="1"/>
  <c r="F208" i="2"/>
  <c r="F209" i="2"/>
  <c r="F25" i="1"/>
  <c r="F26" i="1"/>
  <c r="F27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C261" i="2"/>
  <c r="C272" i="2"/>
  <c r="D170" i="2"/>
  <c r="E170" i="2"/>
  <c r="F170" i="2"/>
  <c r="G170" i="2"/>
  <c r="C170" i="2"/>
  <c r="C283" i="2"/>
  <c r="C284" i="2" s="1"/>
  <c r="E182" i="2"/>
  <c r="D284" i="2"/>
  <c r="C289" i="2" s="1"/>
  <c r="D289" i="2" s="1"/>
  <c r="E289" i="2" s="1"/>
  <c r="F289" i="2" s="1"/>
  <c r="G289" i="2" s="1"/>
  <c r="G290" i="2" s="1"/>
  <c r="F218" i="2"/>
  <c r="F233" i="2"/>
  <c r="F223" i="2"/>
  <c r="C15" i="1"/>
  <c r="C5" i="3" s="1"/>
  <c r="D112" i="2"/>
  <c r="D131" i="2" s="1"/>
  <c r="D150" i="2" s="1"/>
  <c r="D7" i="2" s="1"/>
  <c r="C105" i="2"/>
  <c r="D102" i="2" s="1"/>
  <c r="D104" i="2" s="1"/>
  <c r="G102" i="2"/>
  <c r="G104" i="2" s="1"/>
  <c r="F102" i="2"/>
  <c r="F104" i="2" s="1"/>
  <c r="E102" i="2"/>
  <c r="E104" i="2" s="1"/>
  <c r="C100" i="2"/>
  <c r="D97" i="2" s="1"/>
  <c r="D99" i="2" s="1"/>
  <c r="G97" i="2"/>
  <c r="G99" i="2" s="1"/>
  <c r="F97" i="2"/>
  <c r="F99" i="2" s="1"/>
  <c r="E97" i="2"/>
  <c r="E99" i="2" s="1"/>
  <c r="C95" i="2"/>
  <c r="D92" i="2" s="1"/>
  <c r="D94" i="2" s="1"/>
  <c r="E92" i="2" s="1"/>
  <c r="E94" i="2" s="1"/>
  <c r="G92" i="2"/>
  <c r="G94" i="2" s="1"/>
  <c r="F92" i="2"/>
  <c r="F94" i="2" s="1"/>
  <c r="C90" i="2"/>
  <c r="D87" i="2" s="1"/>
  <c r="D89" i="2" s="1"/>
  <c r="D90" i="2" s="1"/>
  <c r="E87" i="2" s="1"/>
  <c r="E89" i="2" s="1"/>
  <c r="G87" i="2"/>
  <c r="G89" i="2" s="1"/>
  <c r="F87" i="2"/>
  <c r="F89" i="2" s="1"/>
  <c r="C82" i="2"/>
  <c r="D79" i="2" s="1"/>
  <c r="D81" i="2" s="1"/>
  <c r="G79" i="2"/>
  <c r="G81" i="2" s="1"/>
  <c r="F79" i="2"/>
  <c r="F81" i="2" s="1"/>
  <c r="C77" i="2"/>
  <c r="D74" i="2" s="1"/>
  <c r="D76" i="2" s="1"/>
  <c r="G74" i="2"/>
  <c r="G76" i="2" s="1"/>
  <c r="C72" i="2"/>
  <c r="G69" i="2"/>
  <c r="G71" i="2" s="1"/>
  <c r="C67" i="2"/>
  <c r="D64" i="2" s="1"/>
  <c r="D66" i="2" s="1"/>
  <c r="E64" i="2" s="1"/>
  <c r="E66" i="2" s="1"/>
  <c r="G64" i="2"/>
  <c r="G66" i="2" s="1"/>
  <c r="F64" i="2"/>
  <c r="F66" i="2" s="1"/>
  <c r="E79" i="2" l="1"/>
  <c r="E81" i="2" s="1"/>
  <c r="G36" i="2"/>
  <c r="G27" i="2"/>
  <c r="G112" i="2" s="1"/>
  <c r="G131" i="2" s="1"/>
  <c r="G150" i="2" s="1"/>
  <c r="G7" i="2" s="1"/>
  <c r="D124" i="2"/>
  <c r="D143" i="2" s="1"/>
  <c r="D162" i="2" s="1"/>
  <c r="D19" i="2" s="1"/>
  <c r="E74" i="2"/>
  <c r="E76" i="2" s="1"/>
  <c r="F74" i="2" s="1"/>
  <c r="F76" i="2" s="1"/>
  <c r="D123" i="2"/>
  <c r="D142" i="2" s="1"/>
  <c r="D161" i="2" s="1"/>
  <c r="D18" i="2" s="1"/>
  <c r="D122" i="2"/>
  <c r="D141" i="2" s="1"/>
  <c r="D160" i="2" s="1"/>
  <c r="D17" i="2" s="1"/>
  <c r="E114" i="2"/>
  <c r="E133" i="2" s="1"/>
  <c r="E152" i="2" s="1"/>
  <c r="E9" i="2" s="1"/>
  <c r="E113" i="2"/>
  <c r="E132" i="2" s="1"/>
  <c r="E151" i="2" s="1"/>
  <c r="E8" i="2" s="1"/>
  <c r="F112" i="2"/>
  <c r="F131" i="2" s="1"/>
  <c r="F150" i="2" s="1"/>
  <c r="F7" i="2" s="1"/>
  <c r="E112" i="2"/>
  <c r="E131" i="2" s="1"/>
  <c r="E150" i="2" s="1"/>
  <c r="E7" i="2" s="1"/>
  <c r="E111" i="2"/>
  <c r="E130" i="2" s="1"/>
  <c r="E149" i="2" s="1"/>
  <c r="F124" i="2"/>
  <c r="F143" i="2" s="1"/>
  <c r="F162" i="2" s="1"/>
  <c r="F19" i="2" s="1"/>
  <c r="G124" i="2"/>
  <c r="G143" i="2" s="1"/>
  <c r="G162" i="2" s="1"/>
  <c r="G19" i="2" s="1"/>
  <c r="E124" i="2"/>
  <c r="E143" i="2" s="1"/>
  <c r="E162" i="2" s="1"/>
  <c r="E19" i="2" s="1"/>
  <c r="E123" i="2"/>
  <c r="E142" i="2" s="1"/>
  <c r="E161" i="2" s="1"/>
  <c r="E18" i="2" s="1"/>
  <c r="E122" i="2"/>
  <c r="E141" i="2" s="1"/>
  <c r="E160" i="2" s="1"/>
  <c r="E17" i="2" s="1"/>
  <c r="E121" i="2"/>
  <c r="E140" i="2" s="1"/>
  <c r="E159" i="2" s="1"/>
  <c r="E16" i="2" s="1"/>
  <c r="E119" i="2"/>
  <c r="E138" i="2" s="1"/>
  <c r="E157" i="2" s="1"/>
  <c r="E14" i="2" s="1"/>
  <c r="E118" i="2"/>
  <c r="E137" i="2" s="1"/>
  <c r="E156" i="2" s="1"/>
  <c r="E13" i="2" s="1"/>
  <c r="F117" i="2"/>
  <c r="F136" i="2" s="1"/>
  <c r="F155" i="2" s="1"/>
  <c r="F12" i="2" s="1"/>
  <c r="G117" i="2"/>
  <c r="G136" i="2" s="1"/>
  <c r="G155" i="2" s="1"/>
  <c r="G12" i="2" s="1"/>
  <c r="E116" i="2"/>
  <c r="E135" i="2" s="1"/>
  <c r="E154" i="2" s="1"/>
  <c r="E11" i="2" s="1"/>
  <c r="F111" i="2"/>
  <c r="F130" i="2" s="1"/>
  <c r="F149" i="2" s="1"/>
  <c r="G111" i="2"/>
  <c r="G130" i="2" s="1"/>
  <c r="G149" i="2" s="1"/>
  <c r="C122" i="2"/>
  <c r="C141" i="2" s="1"/>
  <c r="C160" i="2" s="1"/>
  <c r="C17" i="2" s="1"/>
  <c r="D69" i="2"/>
  <c r="D71" i="2" s="1"/>
  <c r="D121" i="2"/>
  <c r="D140" i="2" s="1"/>
  <c r="D159" i="2" s="1"/>
  <c r="D16" i="2" s="1"/>
  <c r="C119" i="2"/>
  <c r="C138" i="2" s="1"/>
  <c r="C157" i="2" s="1"/>
  <c r="C14" i="2" s="1"/>
  <c r="D119" i="2"/>
  <c r="D138" i="2" s="1"/>
  <c r="D157" i="2" s="1"/>
  <c r="D14" i="2" s="1"/>
  <c r="C124" i="2"/>
  <c r="C143" i="2" s="1"/>
  <c r="C162" i="2" s="1"/>
  <c r="C19" i="2" s="1"/>
  <c r="C118" i="2"/>
  <c r="C137" i="2" s="1"/>
  <c r="C156" i="2" s="1"/>
  <c r="C13" i="2" s="1"/>
  <c r="D116" i="2"/>
  <c r="D135" i="2" s="1"/>
  <c r="D154" i="2" s="1"/>
  <c r="D11" i="2" s="1"/>
  <c r="C123" i="2"/>
  <c r="C142" i="2" s="1"/>
  <c r="C161" i="2" s="1"/>
  <c r="C18" i="2" s="1"/>
  <c r="D118" i="2"/>
  <c r="D137" i="2" s="1"/>
  <c r="D156" i="2" s="1"/>
  <c r="D13" i="2" s="1"/>
  <c r="C116" i="2"/>
  <c r="C135" i="2" s="1"/>
  <c r="C154" i="2" s="1"/>
  <c r="C11" i="2" s="1"/>
  <c r="C117" i="2"/>
  <c r="C136" i="2" s="1"/>
  <c r="C155" i="2" s="1"/>
  <c r="C12" i="2" s="1"/>
  <c r="C121" i="2"/>
  <c r="C140" i="2" s="1"/>
  <c r="C159" i="2" s="1"/>
  <c r="C16" i="2" s="1"/>
  <c r="D72" i="2" l="1"/>
  <c r="D117" i="2" s="1"/>
  <c r="D136" i="2" s="1"/>
  <c r="D155" i="2" s="1"/>
  <c r="D12" i="2" s="1"/>
  <c r="F114" i="2"/>
  <c r="F133" i="2" s="1"/>
  <c r="F152" i="2" s="1"/>
  <c r="F9" i="2" s="1"/>
  <c r="G114" i="2"/>
  <c r="G133" i="2" s="1"/>
  <c r="G152" i="2" s="1"/>
  <c r="G9" i="2" s="1"/>
  <c r="F113" i="2"/>
  <c r="F132" i="2" s="1"/>
  <c r="F151" i="2" s="1"/>
  <c r="F8" i="2" s="1"/>
  <c r="G113" i="2"/>
  <c r="G132" i="2" s="1"/>
  <c r="G151" i="2" s="1"/>
  <c r="G8" i="2" s="1"/>
  <c r="F123" i="2"/>
  <c r="F142" i="2" s="1"/>
  <c r="F161" i="2" s="1"/>
  <c r="F18" i="2" s="1"/>
  <c r="G123" i="2"/>
  <c r="G142" i="2" s="1"/>
  <c r="G161" i="2" s="1"/>
  <c r="G18" i="2" s="1"/>
  <c r="F122" i="2"/>
  <c r="F141" i="2" s="1"/>
  <c r="F160" i="2" s="1"/>
  <c r="F17" i="2" s="1"/>
  <c r="G122" i="2"/>
  <c r="G141" i="2" s="1"/>
  <c r="G160" i="2" s="1"/>
  <c r="G17" i="2" s="1"/>
  <c r="G121" i="2"/>
  <c r="G140" i="2" s="1"/>
  <c r="G159" i="2" s="1"/>
  <c r="G16" i="2" s="1"/>
  <c r="F121" i="2"/>
  <c r="F140" i="2" s="1"/>
  <c r="F159" i="2" s="1"/>
  <c r="F16" i="2" s="1"/>
  <c r="G118" i="2"/>
  <c r="G137" i="2" s="1"/>
  <c r="G156" i="2" s="1"/>
  <c r="G13" i="2" s="1"/>
  <c r="F118" i="2"/>
  <c r="F137" i="2" s="1"/>
  <c r="F156" i="2" s="1"/>
  <c r="F13" i="2" s="1"/>
  <c r="F119" i="2"/>
  <c r="F138" i="2" s="1"/>
  <c r="F157" i="2" s="1"/>
  <c r="F14" i="2" s="1"/>
  <c r="G119" i="2"/>
  <c r="G138" i="2" s="1"/>
  <c r="G157" i="2" s="1"/>
  <c r="G14" i="2" s="1"/>
  <c r="G116" i="2"/>
  <c r="G135" i="2" s="1"/>
  <c r="G154" i="2" s="1"/>
  <c r="G11" i="2" s="1"/>
  <c r="F116" i="2"/>
  <c r="F135" i="2" s="1"/>
  <c r="F154" i="2" s="1"/>
  <c r="F11" i="2" s="1"/>
  <c r="F69" i="2"/>
  <c r="F71" i="2" s="1"/>
  <c r="E117" i="2"/>
  <c r="E136" i="2" s="1"/>
  <c r="E155" i="2" s="1"/>
  <c r="E12" i="2" s="1"/>
  <c r="E69" i="2" l="1"/>
  <c r="E71" i="2" s="1"/>
  <c r="C62" i="2" l="1"/>
  <c r="G59" i="2"/>
  <c r="G61" i="2" s="1"/>
  <c r="F59" i="2"/>
  <c r="F61" i="2" s="1"/>
  <c r="C57" i="2"/>
  <c r="G54" i="2"/>
  <c r="G56" i="2" s="1"/>
  <c r="F54" i="2"/>
  <c r="F56" i="2" s="1"/>
  <c r="C52" i="2"/>
  <c r="G49" i="2"/>
  <c r="G51" i="2" s="1"/>
  <c r="F49" i="2"/>
  <c r="F51" i="2" s="1"/>
  <c r="E49" i="2"/>
  <c r="E51" i="2" s="1"/>
  <c r="F44" i="2"/>
  <c r="F46" i="2" s="1"/>
  <c r="G44" i="2"/>
  <c r="G46" i="2" s="1"/>
  <c r="C47" i="2"/>
  <c r="E178" i="2"/>
  <c r="C189" i="2" s="1"/>
  <c r="E179" i="2"/>
  <c r="C191" i="2" s="1"/>
  <c r="D191" i="2" s="1"/>
  <c r="E191" i="2" s="1"/>
  <c r="F191" i="2" s="1"/>
  <c r="G191" i="2" s="1"/>
  <c r="E180" i="2"/>
  <c r="C193" i="2" s="1"/>
  <c r="D193" i="2" s="1"/>
  <c r="E193" i="2" s="1"/>
  <c r="F193" i="2" s="1"/>
  <c r="G193" i="2" s="1"/>
  <c r="E181" i="2"/>
  <c r="C197" i="2"/>
  <c r="D197" i="2" s="1"/>
  <c r="E177" i="2"/>
  <c r="F229" i="2"/>
  <c r="F231" i="2"/>
  <c r="F234" i="2"/>
  <c r="F239" i="2"/>
  <c r="F240" i="2"/>
  <c r="F241" i="2"/>
  <c r="F242" i="2"/>
  <c r="F243" i="2"/>
  <c r="F227" i="2"/>
  <c r="F230" i="2"/>
  <c r="F232" i="2"/>
  <c r="F235" i="2"/>
  <c r="F236" i="2"/>
  <c r="F237" i="2"/>
  <c r="F238" i="2"/>
  <c r="F228" i="2"/>
  <c r="F89" i="1"/>
  <c r="F90" i="1" s="1"/>
  <c r="C18" i="1" s="1"/>
  <c r="C8" i="3" s="1"/>
  <c r="C111" i="2" l="1"/>
  <c r="C130" i="2" s="1"/>
  <c r="C149" i="2" s="1"/>
  <c r="C6" i="2" s="1"/>
  <c r="C187" i="2"/>
  <c r="D187" i="2" s="1"/>
  <c r="E187" i="2" s="1"/>
  <c r="F187" i="2" s="1"/>
  <c r="G187" i="2" s="1"/>
  <c r="E183" i="2"/>
  <c r="D189" i="2"/>
  <c r="E189" i="2" s="1"/>
  <c r="F189" i="2" s="1"/>
  <c r="G189" i="2" s="1"/>
  <c r="D49" i="2"/>
  <c r="D51" i="2" s="1"/>
  <c r="C112" i="2"/>
  <c r="C131" i="2" s="1"/>
  <c r="D44" i="2"/>
  <c r="D46" i="2" s="1"/>
  <c r="D111" i="2" s="1"/>
  <c r="D130" i="2" s="1"/>
  <c r="D149" i="2" s="1"/>
  <c r="E44" i="2"/>
  <c r="E46" i="2" s="1"/>
  <c r="D59" i="2"/>
  <c r="D61" i="2" s="1"/>
  <c r="C114" i="2"/>
  <c r="C133" i="2" s="1"/>
  <c r="C152" i="2" s="1"/>
  <c r="C9" i="2" s="1"/>
  <c r="D54" i="2"/>
  <c r="D56" i="2" s="1"/>
  <c r="C113" i="2"/>
  <c r="C132" i="2" s="1"/>
  <c r="C151" i="2" s="1"/>
  <c r="C8" i="2" s="1"/>
  <c r="C195" i="2"/>
  <c r="D195" i="2" s="1"/>
  <c r="E195" i="2" s="1"/>
  <c r="F195" i="2" s="1"/>
  <c r="G195" i="2" s="1"/>
  <c r="C7" i="2" l="1"/>
  <c r="C150" i="2"/>
  <c r="D62" i="2"/>
  <c r="D114" i="2" s="1"/>
  <c r="D133" i="2" s="1"/>
  <c r="D152" i="2" s="1"/>
  <c r="D9" i="2" s="1"/>
  <c r="D199" i="2"/>
  <c r="D167" i="2" s="1"/>
  <c r="E197" i="2"/>
  <c r="F197" i="2" s="1"/>
  <c r="G197" i="2" s="1"/>
  <c r="G199" i="2" s="1"/>
  <c r="G167" i="2" s="1"/>
  <c r="E54" i="2"/>
  <c r="E56" i="2" s="1"/>
  <c r="D113" i="2"/>
  <c r="D132" i="2" s="1"/>
  <c r="D151" i="2" s="1"/>
  <c r="D8" i="2" s="1"/>
  <c r="C199" i="2"/>
  <c r="C167" i="2" s="1"/>
  <c r="E59" i="2" l="1"/>
  <c r="E61" i="2" s="1"/>
  <c r="F199" i="2"/>
  <c r="F167" i="2" s="1"/>
  <c r="E199" i="2"/>
  <c r="E167" i="2" s="1"/>
  <c r="F73" i="1"/>
  <c r="F204" i="2"/>
  <c r="G172" i="2"/>
  <c r="F290" i="2"/>
  <c r="F172" i="2" s="1"/>
  <c r="E290" i="2"/>
  <c r="E172" i="2" s="1"/>
  <c r="D290" i="2"/>
  <c r="D172" i="2" s="1"/>
  <c r="C290" i="2"/>
  <c r="C172" i="2" s="1"/>
  <c r="C277" i="2"/>
  <c r="D277" i="2" s="1"/>
  <c r="D279" i="2" s="1"/>
  <c r="C266" i="2"/>
  <c r="F246" i="2"/>
  <c r="F226" i="2"/>
  <c r="F224" i="2"/>
  <c r="F222" i="2"/>
  <c r="F221" i="2"/>
  <c r="F220" i="2"/>
  <c r="F219" i="2"/>
  <c r="F217" i="2"/>
  <c r="F216" i="2"/>
  <c r="F215" i="2"/>
  <c r="F214" i="2"/>
  <c r="F213" i="2"/>
  <c r="F212" i="2"/>
  <c r="F211" i="2"/>
  <c r="F207" i="2"/>
  <c r="F206" i="2"/>
  <c r="F205" i="2"/>
  <c r="G6" i="2"/>
  <c r="G20" i="2" s="1"/>
  <c r="H6" i="1" s="1"/>
  <c r="F6" i="2"/>
  <c r="E6" i="2"/>
  <c r="E20" i="2" s="1"/>
  <c r="F6" i="1" s="1"/>
  <c r="F24" i="1"/>
  <c r="F66" i="1" s="1"/>
  <c r="F83" i="1"/>
  <c r="F84" i="1"/>
  <c r="F77" i="1"/>
  <c r="F247" i="2" l="1"/>
  <c r="D68" i="1"/>
  <c r="E277" i="2"/>
  <c r="E279" i="2" s="1"/>
  <c r="D171" i="2"/>
  <c r="F20" i="2"/>
  <c r="G6" i="1" s="1"/>
  <c r="D6" i="2"/>
  <c r="D20" i="2" s="1"/>
  <c r="E6" i="1" s="1"/>
  <c r="C268" i="2"/>
  <c r="C169" i="2" s="1"/>
  <c r="D266" i="2"/>
  <c r="D268" i="2" s="1"/>
  <c r="D169" i="2" s="1"/>
  <c r="C279" i="2"/>
  <c r="C171" i="2" s="1"/>
  <c r="F85" i="1"/>
  <c r="C17" i="1" s="1"/>
  <c r="C7" i="3" s="1"/>
  <c r="F78" i="1"/>
  <c r="C16" i="1" s="1"/>
  <c r="C6" i="3" s="1"/>
  <c r="C250" i="2" l="1"/>
  <c r="C251" i="2" s="1"/>
  <c r="C255" i="2" s="1"/>
  <c r="H9" i="1"/>
  <c r="D9" i="1"/>
  <c r="G9" i="1"/>
  <c r="F9" i="1"/>
  <c r="E9" i="1"/>
  <c r="C14" i="1"/>
  <c r="C19" i="1" s="1"/>
  <c r="C20" i="2"/>
  <c r="D6" i="1" s="1"/>
  <c r="F277" i="2"/>
  <c r="E171" i="2"/>
  <c r="E266" i="2"/>
  <c r="E268" i="2" s="1"/>
  <c r="E169" i="2" s="1"/>
  <c r="D255" i="2" l="1"/>
  <c r="D257" i="2" s="1"/>
  <c r="C257" i="2"/>
  <c r="C4" i="3"/>
  <c r="C9" i="3" s="1"/>
  <c r="C28" i="3" s="1"/>
  <c r="C5" i="1"/>
  <c r="F266" i="2"/>
  <c r="F268" i="2" s="1"/>
  <c r="F169" i="2" s="1"/>
  <c r="F279" i="2"/>
  <c r="C173" i="2" l="1"/>
  <c r="D7" i="1" s="1"/>
  <c r="D8" i="1" s="1"/>
  <c r="D168" i="2"/>
  <c r="E255" i="2"/>
  <c r="E257" i="2" s="1"/>
  <c r="D28" i="3"/>
  <c r="C38" i="3"/>
  <c r="G277" i="2"/>
  <c r="F171" i="2"/>
  <c r="G266" i="2"/>
  <c r="G268" i="2" s="1"/>
  <c r="G169" i="2" s="1"/>
  <c r="D10" i="1" l="1"/>
  <c r="C13" i="3" s="1"/>
  <c r="C29" i="3" s="1"/>
  <c r="D173" i="2"/>
  <c r="E7" i="1" s="1"/>
  <c r="E8" i="1" s="1"/>
  <c r="E10" i="1" s="1"/>
  <c r="C14" i="3" s="1"/>
  <c r="C30" i="3" s="1"/>
  <c r="C40" i="3" s="1"/>
  <c r="C50" i="3" s="1"/>
  <c r="E168" i="2"/>
  <c r="F255" i="2"/>
  <c r="F257" i="2" s="1"/>
  <c r="C48" i="3"/>
  <c r="D48" i="3" s="1"/>
  <c r="G279" i="2"/>
  <c r="G171" i="2" s="1"/>
  <c r="D29" i="3" l="1"/>
  <c r="C39" i="3"/>
  <c r="C49" i="3" s="1"/>
  <c r="E173" i="2"/>
  <c r="F7" i="1" s="1"/>
  <c r="F8" i="1" s="1"/>
  <c r="F10" i="1" s="1"/>
  <c r="C15" i="3" s="1"/>
  <c r="C31" i="3" s="1"/>
  <c r="D30" i="3"/>
  <c r="F168" i="2"/>
  <c r="G255" i="2"/>
  <c r="G257" i="2" s="1"/>
  <c r="G168" i="2" s="1"/>
  <c r="E49" i="3" l="1"/>
  <c r="C61" i="3" s="1"/>
  <c r="D49" i="3"/>
  <c r="D50" i="3" s="1"/>
  <c r="G173" i="2"/>
  <c r="H7" i="1" s="1"/>
  <c r="H8" i="1" s="1"/>
  <c r="H10" i="1" s="1"/>
  <c r="C17" i="3" s="1"/>
  <c r="C33" i="3" s="1"/>
  <c r="D33" i="3" s="1"/>
  <c r="F173" i="2"/>
  <c r="G7" i="1" s="1"/>
  <c r="G8" i="1" s="1"/>
  <c r="G10" i="1" s="1"/>
  <c r="C16" i="3" s="1"/>
  <c r="C32" i="3" s="1"/>
  <c r="C42" i="3" s="1"/>
  <c r="C52" i="3" s="1"/>
  <c r="C41" i="3"/>
  <c r="D31" i="3"/>
  <c r="C51" i="3" l="1"/>
  <c r="C43" i="3"/>
  <c r="C53" i="3" s="1"/>
  <c r="D32" i="3"/>
  <c r="D34" i="3" s="1"/>
  <c r="C59" i="3" s="1"/>
  <c r="C55" i="3" l="1"/>
  <c r="C62" i="3" s="1"/>
  <c r="C44" i="3"/>
  <c r="C60" i="3" s="1"/>
  <c r="D51" i="3"/>
  <c r="D52" i="3" s="1"/>
  <c r="D53" i="3" s="1"/>
</calcChain>
</file>

<file path=xl/sharedStrings.xml><?xml version="1.0" encoding="utf-8"?>
<sst xmlns="http://schemas.openxmlformats.org/spreadsheetml/2006/main" count="481" uniqueCount="232">
  <si>
    <t>AKTIVA TETAP</t>
  </si>
  <si>
    <t>No.</t>
  </si>
  <si>
    <t>Keterangan</t>
  </si>
  <si>
    <t>Jumlah</t>
  </si>
  <si>
    <t>Harga</t>
  </si>
  <si>
    <t xml:space="preserve">Harga Satuan </t>
  </si>
  <si>
    <t>Total</t>
  </si>
  <si>
    <t>BIAYA SEWA</t>
  </si>
  <si>
    <t>No</t>
  </si>
  <si>
    <t>Harga Sewa per tahun</t>
  </si>
  <si>
    <t>Harga Sewa per bulan</t>
  </si>
  <si>
    <t>Biaya Sewa Tempat</t>
  </si>
  <si>
    <t>Total Biaya</t>
  </si>
  <si>
    <t>Harga satuan</t>
  </si>
  <si>
    <t>Tempat sampah</t>
  </si>
  <si>
    <t>BIAYA SURVEY</t>
  </si>
  <si>
    <t xml:space="preserve">Biaya Konsumsi </t>
  </si>
  <si>
    <t>Biaya Transportasi</t>
  </si>
  <si>
    <t>BIAYA AMDAL</t>
  </si>
  <si>
    <t>CASH INFLOW</t>
  </si>
  <si>
    <t>Cash Inflow</t>
  </si>
  <si>
    <t>Tahun 1</t>
  </si>
  <si>
    <t>Tahun 2</t>
  </si>
  <si>
    <t>Tahun 3</t>
  </si>
  <si>
    <t xml:space="preserve">Tahun 4 </t>
  </si>
  <si>
    <t>Tahun 5</t>
  </si>
  <si>
    <t>Tahun 4</t>
  </si>
  <si>
    <t>Pembulatan Harga</t>
  </si>
  <si>
    <t>Pendapatan Harian</t>
  </si>
  <si>
    <t>Pendapatan Bulanan</t>
  </si>
  <si>
    <t>Pendapatan Tahunan</t>
  </si>
  <si>
    <t>CASH OUTFLOW</t>
  </si>
  <si>
    <t>Cash Outflow</t>
  </si>
  <si>
    <t>Gaji Karyawan</t>
  </si>
  <si>
    <t>Pembelian bahan baku</t>
  </si>
  <si>
    <t>Listrik</t>
  </si>
  <si>
    <t>Isi ulang tabung gas</t>
  </si>
  <si>
    <t>Air</t>
  </si>
  <si>
    <t xml:space="preserve">Air minum </t>
  </si>
  <si>
    <t>Perincian Gaji Karyawan</t>
  </si>
  <si>
    <t>Jumlah Karyawan</t>
  </si>
  <si>
    <t>Total Gaji</t>
  </si>
  <si>
    <t>Kasir</t>
  </si>
  <si>
    <t>Kenaikan gaji</t>
  </si>
  <si>
    <t xml:space="preserve">Total Gaji </t>
  </si>
  <si>
    <t>Perincian Bahan Baku Bulanan</t>
  </si>
  <si>
    <t>Bahan Pokok</t>
  </si>
  <si>
    <t>Berat Satuan (Kg/L)</t>
  </si>
  <si>
    <t>Daging Ayam</t>
  </si>
  <si>
    <t>Daging Sapi</t>
  </si>
  <si>
    <t>Bumbu</t>
  </si>
  <si>
    <t>Cabe merah</t>
  </si>
  <si>
    <t>Cabe hijau</t>
  </si>
  <si>
    <t>Saus Sambal</t>
  </si>
  <si>
    <t>Kecap Manis</t>
  </si>
  <si>
    <t>Kecap Asin</t>
  </si>
  <si>
    <t>Bawang merah</t>
  </si>
  <si>
    <t>Bawang putih</t>
  </si>
  <si>
    <t>Jeruk nipis</t>
  </si>
  <si>
    <t>Tepung terigu</t>
  </si>
  <si>
    <t>Garam</t>
  </si>
  <si>
    <t>Gula</t>
  </si>
  <si>
    <t>Micin</t>
  </si>
  <si>
    <t>Susu cair</t>
  </si>
  <si>
    <t>Topping</t>
  </si>
  <si>
    <t>Telur</t>
  </si>
  <si>
    <t>Bahan pengolah</t>
  </si>
  <si>
    <t>Minyak goreng</t>
  </si>
  <si>
    <t>Biaya bahan baku bulanan</t>
  </si>
  <si>
    <t>Biaya bahan baku tahunan</t>
  </si>
  <si>
    <t>Biaya bahan baku</t>
  </si>
  <si>
    <t>Kenaikan harga bahan baku</t>
  </si>
  <si>
    <t>Penggunaan listrik bulanan</t>
  </si>
  <si>
    <t>Penggunaan listrik tahunan</t>
  </si>
  <si>
    <t>Biaya tagihan listrik</t>
  </si>
  <si>
    <t>Kenaikan penggunaan listrik</t>
  </si>
  <si>
    <t>Penggunaan air bulanan</t>
  </si>
  <si>
    <t>Penggunaan air tahunan</t>
  </si>
  <si>
    <t>Biaya tagihan air</t>
  </si>
  <si>
    <t>Kenaikan penggunaan air</t>
  </si>
  <si>
    <t>Total harga</t>
  </si>
  <si>
    <t>Penggunaan air minum bulanan</t>
  </si>
  <si>
    <t>Penggunaan air minum tahunan</t>
  </si>
  <si>
    <t>Biaya tagihan air minum</t>
  </si>
  <si>
    <t>Harga botol minum</t>
  </si>
  <si>
    <t>Kenaikan penggunaan air minum</t>
  </si>
  <si>
    <t>Meja kayu</t>
  </si>
  <si>
    <t>Kursi kayu</t>
  </si>
  <si>
    <t>Etalase produksi</t>
  </si>
  <si>
    <t>Pisau potong</t>
  </si>
  <si>
    <t>Papan potong</t>
  </si>
  <si>
    <t>Parutan keju</t>
  </si>
  <si>
    <t>Toples toping</t>
  </si>
  <si>
    <t>Box toping</t>
  </si>
  <si>
    <t>Spatula</t>
  </si>
  <si>
    <t>Kuali penggoreng</t>
  </si>
  <si>
    <t>Tabung gas</t>
  </si>
  <si>
    <t>Kompor</t>
  </si>
  <si>
    <t>Sendok</t>
  </si>
  <si>
    <t>Garpu</t>
  </si>
  <si>
    <t>Kain lap serbet</t>
  </si>
  <si>
    <t>Tempat sabun cuci tangan</t>
  </si>
  <si>
    <t>Gelas</t>
  </si>
  <si>
    <t>Tempat tissue</t>
  </si>
  <si>
    <t>Target Penjualan Harian</t>
  </si>
  <si>
    <t>Pembuat Martabak</t>
  </si>
  <si>
    <t>Pelayan</t>
  </si>
  <si>
    <t xml:space="preserve">Setiap tahun genap gaji karyawan naik </t>
  </si>
  <si>
    <t>Mentega</t>
  </si>
  <si>
    <t>Tepung tapioka</t>
  </si>
  <si>
    <t>Keju</t>
  </si>
  <si>
    <t>Coklat</t>
  </si>
  <si>
    <t>Kacang</t>
  </si>
  <si>
    <t>Blueberry</t>
  </si>
  <si>
    <t>Pisang</t>
  </si>
  <si>
    <t>Strawberry</t>
  </si>
  <si>
    <t>Nanas</t>
  </si>
  <si>
    <t>Ovomaltine</t>
  </si>
  <si>
    <t>Nutella</t>
  </si>
  <si>
    <t>Oreo</t>
  </si>
  <si>
    <t>Durian</t>
  </si>
  <si>
    <t>Ketan hitam</t>
  </si>
  <si>
    <t>Telur bebek</t>
  </si>
  <si>
    <t>Telur Ayam</t>
  </si>
  <si>
    <t>Daging Kambing</t>
  </si>
  <si>
    <t>Dispenser</t>
  </si>
  <si>
    <t>Jangka Waktu (/tahun)</t>
  </si>
  <si>
    <t>Penjualan Martabak</t>
  </si>
  <si>
    <t>Penjualan Minuman</t>
  </si>
  <si>
    <t>Penjualan Es Jeruk</t>
  </si>
  <si>
    <t>Penjualan Es Teh Manis</t>
  </si>
  <si>
    <t>Penjualan Es The Tawar</t>
  </si>
  <si>
    <t>Penjualan Air Mineral</t>
  </si>
  <si>
    <t>Martabak Small</t>
  </si>
  <si>
    <t>Martabak Regular</t>
  </si>
  <si>
    <t>Martabak Large</t>
  </si>
  <si>
    <t>Martabak Jumbo</t>
  </si>
  <si>
    <t>Martabak Telur</t>
  </si>
  <si>
    <t>Martabak Daging Ayam</t>
  </si>
  <si>
    <t>Martabak Daging Kambing</t>
  </si>
  <si>
    <t>Martabak Daging Sapi</t>
  </si>
  <si>
    <r>
      <t xml:space="preserve">Penjualan Martabak </t>
    </r>
    <r>
      <rPr>
        <b/>
        <sz val="12"/>
        <color theme="1"/>
        <rFont val="Calibri"/>
        <family val="2"/>
        <scheme val="minor"/>
      </rPr>
      <t>Manis</t>
    </r>
  </si>
  <si>
    <r>
      <t xml:space="preserve">Penjualan Martabak </t>
    </r>
    <r>
      <rPr>
        <b/>
        <sz val="12"/>
        <color theme="1"/>
        <rFont val="Calibri"/>
        <family val="2"/>
        <scheme val="minor"/>
      </rPr>
      <t>Asin</t>
    </r>
  </si>
  <si>
    <t>Motor</t>
  </si>
  <si>
    <t>Box Delivery</t>
  </si>
  <si>
    <t>NCF</t>
  </si>
  <si>
    <t>Initial Outlay</t>
  </si>
  <si>
    <t>Aktiva Tetap</t>
  </si>
  <si>
    <t>Biaya Sewa</t>
  </si>
  <si>
    <t>Biaya Amdal</t>
  </si>
  <si>
    <t>Biaya Survey</t>
  </si>
  <si>
    <t>NCF = EAT</t>
  </si>
  <si>
    <t>Biaya Iklan</t>
  </si>
  <si>
    <t>Proceed</t>
  </si>
  <si>
    <t>Harga Iklan</t>
  </si>
  <si>
    <t>BIAYA PROMOSI</t>
  </si>
  <si>
    <t>Total biaya tagihan listrik</t>
  </si>
  <si>
    <t xml:space="preserve">Total Biaya bahan baku </t>
  </si>
  <si>
    <t>Total Biaya tagihan air</t>
  </si>
  <si>
    <t>Pengunaan listrik setiap tahun meningkat</t>
  </si>
  <si>
    <t>Harga bahan baku selalu bertambah tiap tahunnya</t>
  </si>
  <si>
    <t>Pengunaan air setiap tahunnya meningkat</t>
  </si>
  <si>
    <t>Pengunaan air minum bertambah setiap tahunnya</t>
  </si>
  <si>
    <t>Total Biaya tagihan air minum</t>
  </si>
  <si>
    <t>Stock Man</t>
  </si>
  <si>
    <t>Delivery Man</t>
  </si>
  <si>
    <t>Manajer Toko</t>
  </si>
  <si>
    <t xml:space="preserve"> </t>
  </si>
  <si>
    <t>Kenaikan Harga</t>
  </si>
  <si>
    <t>Harga Baru</t>
  </si>
  <si>
    <t>Harga Martabak naik per tahunnya</t>
  </si>
  <si>
    <t>Harga minuman naik setiap tahunnya</t>
  </si>
  <si>
    <t>Biaya Promosi</t>
  </si>
  <si>
    <t>Tahun 0</t>
  </si>
  <si>
    <t>Investasi Awal</t>
  </si>
  <si>
    <t>Cash Inflow/CIF</t>
  </si>
  <si>
    <t>Cash Outflow/COF(-)</t>
  </si>
  <si>
    <t>Depresiasi (+)</t>
  </si>
  <si>
    <t>Tahun</t>
  </si>
  <si>
    <t>Laba</t>
  </si>
  <si>
    <t>Oppurtinity Cost</t>
  </si>
  <si>
    <t>Investasi disebut layak jika</t>
  </si>
  <si>
    <t>Payback period</t>
  </si>
  <si>
    <t>&lt;3 Tahun</t>
  </si>
  <si>
    <t>Internal Rate of Return</t>
  </si>
  <si>
    <t>&gt;20%</t>
  </si>
  <si>
    <t>Profitability Index</t>
  </si>
  <si>
    <t>&gt; 1.2</t>
  </si>
  <si>
    <t>NPV</t>
  </si>
  <si>
    <t>Cashflow</t>
  </si>
  <si>
    <t>PV</t>
  </si>
  <si>
    <t>IRR</t>
  </si>
  <si>
    <t>Payback Period</t>
  </si>
  <si>
    <t>Akumulasi</t>
  </si>
  <si>
    <t>Kesimpulan</t>
  </si>
  <si>
    <t>Hasil</t>
  </si>
  <si>
    <t>Target</t>
  </si>
  <si>
    <t>Kelayakan</t>
  </si>
  <si>
    <t>Positif</t>
  </si>
  <si>
    <t>Layak</t>
  </si>
  <si>
    <t>PP</t>
  </si>
  <si>
    <t>PI</t>
  </si>
  <si>
    <t>&gt;1.2</t>
  </si>
  <si>
    <t>Depresiasi (20%)</t>
  </si>
  <si>
    <t>Piring</t>
  </si>
  <si>
    <t>Mangkok bulat kecil</t>
  </si>
  <si>
    <t>Susu kental manis</t>
  </si>
  <si>
    <t>Buah Naga</t>
  </si>
  <si>
    <t>Teh</t>
  </si>
  <si>
    <t xml:space="preserve">Jeruk </t>
  </si>
  <si>
    <t>Daun Bawang</t>
  </si>
  <si>
    <t>AC</t>
  </si>
  <si>
    <t>Kipas Angin</t>
  </si>
  <si>
    <t>Kursi panjang penunggu</t>
  </si>
  <si>
    <t>Penjualan Es Teh Tawar</t>
  </si>
  <si>
    <t>Dagin Sapi Wagyu</t>
  </si>
  <si>
    <t>Lemari barang</t>
  </si>
  <si>
    <t>Loyang bulat</t>
  </si>
  <si>
    <t>Loyang hati</t>
  </si>
  <si>
    <t>Loyang kotak</t>
  </si>
  <si>
    <t>Loyang small</t>
  </si>
  <si>
    <t>Loyang Medium</t>
  </si>
  <si>
    <t>Loyang Large</t>
  </si>
  <si>
    <t>Loyang Jumbo</t>
  </si>
  <si>
    <t>Mesin adonan</t>
  </si>
  <si>
    <t>Lampu</t>
  </si>
  <si>
    <t>CCTV</t>
  </si>
  <si>
    <t>TV</t>
  </si>
  <si>
    <t>Mesin Cashier</t>
  </si>
  <si>
    <t>Blender</t>
  </si>
  <si>
    <t>Modem Wifi</t>
  </si>
  <si>
    <t>Kabel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</si>
</sst>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p&quot;#,##0;[Red]\-&quot;Rp&quot;#,##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&quot;Rp&quot;* #,##0_-;\-&quot;Rp&quot;* #,##0_-;_-&quot;Rp&quot;* &quot;-&quot;??_-;_-@_-"/>
    <numFmt numFmtId="165" formatCode="_-&quot;Rp&quot;* #,##0_-;\-&quot;Rp&quot;* #,##0_-;_-&quot;Rp&quot;* &quot;-&quot;_-;_-@"/>
    <numFmt numFmtId="166" formatCode="_-* #,##0_-;\-* #,##0_-;_-* &quot;-&quot;??_-;_-@_-"/>
    <numFmt numFmtId="167" formatCode="_-[$Rp-3809]* #,##0_-;\-[$Rp-3809]* #,##0_-;_-[$Rp-3809]* &quot;-&quot;??_-;_-@_-"/>
    <numFmt numFmtId="168" formatCode="_-* #,##0_-;\-* #,##0_-;_-* &quot;-&quot;_-;_-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167" fontId="4" fillId="0" borderId="1" xfId="0" applyNumberFormat="1" applyFont="1" applyBorder="1"/>
    <xf numFmtId="167" fontId="4" fillId="0" borderId="1" xfId="0" applyNumberFormat="1" applyFont="1" applyBorder="1" applyAlignment="1">
      <alignment horizontal="left"/>
    </xf>
    <xf numFmtId="167" fontId="3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41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1" xfId="2" applyNumberFormat="1" applyFont="1" applyFill="1" applyBorder="1" applyAlignment="1">
      <alignment horizontal="center"/>
    </xf>
    <xf numFmtId="166" fontId="4" fillId="0" borderId="1" xfId="1" applyNumberFormat="1" applyFont="1" applyFill="1" applyBorder="1" applyAlignment="1">
      <alignment horizontal="center" vertical="center"/>
    </xf>
    <xf numFmtId="9" fontId="4" fillId="0" borderId="1" xfId="4" applyFont="1" applyFill="1" applyBorder="1" applyAlignment="1">
      <alignment horizontal="center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indent="2"/>
    </xf>
    <xf numFmtId="0" fontId="3" fillId="2" borderId="1" xfId="0" applyFont="1" applyFill="1" applyBorder="1"/>
    <xf numFmtId="0" fontId="4" fillId="0" borderId="1" xfId="0" applyFont="1" applyBorder="1" applyAlignment="1">
      <alignment horizontal="left" indent="3"/>
    </xf>
    <xf numFmtId="0" fontId="4" fillId="0" borderId="1" xfId="0" applyFont="1" applyBorder="1" applyAlignment="1">
      <alignment horizontal="left" indent="5"/>
    </xf>
    <xf numFmtId="0" fontId="3" fillId="3" borderId="1" xfId="0" applyFont="1" applyFill="1" applyBorder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horizontal="left" indent="2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left"/>
    </xf>
    <xf numFmtId="167" fontId="3" fillId="6" borderId="1" xfId="0" applyNumberFormat="1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left" indent="1"/>
    </xf>
    <xf numFmtId="167" fontId="3" fillId="7" borderId="1" xfId="0" applyNumberFormat="1" applyFont="1" applyFill="1" applyBorder="1"/>
    <xf numFmtId="167" fontId="3" fillId="7" borderId="1" xfId="0" applyNumberFormat="1" applyFont="1" applyFill="1" applyBorder="1" applyAlignment="1">
      <alignment horizontal="center"/>
    </xf>
    <xf numFmtId="167" fontId="3" fillId="2" borderId="1" xfId="0" applyNumberFormat="1" applyFont="1" applyFill="1" applyBorder="1"/>
    <xf numFmtId="167" fontId="3" fillId="0" borderId="0" xfId="0" applyNumberFormat="1" applyFont="1"/>
    <xf numFmtId="167" fontId="3" fillId="2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167" fontId="3" fillId="10" borderId="1" xfId="0" applyNumberFormat="1" applyFont="1" applyFill="1" applyBorder="1"/>
    <xf numFmtId="0" fontId="3" fillId="10" borderId="1" xfId="0" applyFont="1" applyFill="1" applyBorder="1" applyAlignment="1">
      <alignment horizontal="center"/>
    </xf>
    <xf numFmtId="167" fontId="3" fillId="10" borderId="1" xfId="0" applyNumberFormat="1" applyFont="1" applyFill="1" applyBorder="1" applyAlignment="1">
      <alignment horizontal="center"/>
    </xf>
    <xf numFmtId="167" fontId="3" fillId="6" borderId="1" xfId="0" applyNumberFormat="1" applyFont="1" applyFill="1" applyBorder="1"/>
    <xf numFmtId="165" fontId="2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167" fontId="4" fillId="0" borderId="1" xfId="0" applyNumberFormat="1" applyFont="1" applyBorder="1" applyAlignment="1">
      <alignment horizontal="left" indent="3"/>
    </xf>
    <xf numFmtId="9" fontId="4" fillId="0" borderId="1" xfId="4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 indent="5"/>
    </xf>
    <xf numFmtId="164" fontId="4" fillId="0" borderId="1" xfId="3" applyNumberFormat="1" applyFont="1" applyBorder="1" applyAlignment="1">
      <alignment horizontal="center"/>
    </xf>
    <xf numFmtId="164" fontId="4" fillId="0" borderId="1" xfId="3" applyNumberFormat="1" applyFont="1" applyBorder="1"/>
    <xf numFmtId="164" fontId="4" fillId="0" borderId="1" xfId="3" applyNumberFormat="1" applyFont="1" applyFill="1" applyBorder="1" applyAlignment="1">
      <alignment horizontal="center"/>
    </xf>
    <xf numFmtId="164" fontId="3" fillId="11" borderId="1" xfId="3" applyNumberFormat="1" applyFont="1" applyFill="1" applyBorder="1" applyAlignment="1">
      <alignment horizontal="center"/>
    </xf>
    <xf numFmtId="0" fontId="4" fillId="0" borderId="0" xfId="0" applyFont="1" applyAlignment="1">
      <alignment horizontal="left" indent="3"/>
    </xf>
    <xf numFmtId="167" fontId="3" fillId="9" borderId="2" xfId="0" applyNumberFormat="1" applyFont="1" applyFill="1" applyBorder="1" applyAlignment="1">
      <alignment horizontal="left"/>
    </xf>
    <xf numFmtId="167" fontId="3" fillId="9" borderId="3" xfId="0" applyNumberFormat="1" applyFont="1" applyFill="1" applyBorder="1" applyAlignment="1">
      <alignment horizontal="left"/>
    </xf>
    <xf numFmtId="167" fontId="3" fillId="9" borderId="4" xfId="0" applyNumberFormat="1" applyFont="1" applyFill="1" applyBorder="1" applyAlignment="1">
      <alignment horizontal="left"/>
    </xf>
    <xf numFmtId="167" fontId="3" fillId="0" borderId="2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3" fillId="9" borderId="1" xfId="0" applyNumberFormat="1" applyFont="1" applyFill="1" applyBorder="1" applyAlignment="1">
      <alignment horizontal="left" vertical="center"/>
    </xf>
    <xf numFmtId="167" fontId="3" fillId="6" borderId="2" xfId="0" applyNumberFormat="1" applyFont="1" applyFill="1" applyBorder="1" applyAlignment="1">
      <alignment horizontal="center"/>
    </xf>
    <xf numFmtId="167" fontId="3" fillId="6" borderId="3" xfId="0" applyNumberFormat="1" applyFont="1" applyFill="1" applyBorder="1" applyAlignment="1">
      <alignment horizontal="center"/>
    </xf>
    <xf numFmtId="167" fontId="3" fillId="6" borderId="4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4" fontId="3" fillId="12" borderId="1" xfId="3" applyNumberFormat="1" applyFont="1" applyFill="1" applyBorder="1" applyAlignment="1">
      <alignment horizontal="center"/>
    </xf>
    <xf numFmtId="41" fontId="4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 indent="2"/>
    </xf>
    <xf numFmtId="0" fontId="4" fillId="0" borderId="3" xfId="0" applyFont="1" applyBorder="1" applyAlignment="1">
      <alignment horizontal="left" indent="2"/>
    </xf>
    <xf numFmtId="0" fontId="4" fillId="0" borderId="4" xfId="0" applyFont="1" applyBorder="1" applyAlignment="1">
      <alignment horizontal="left" indent="2"/>
    </xf>
    <xf numFmtId="168" fontId="4" fillId="0" borderId="1" xfId="0" applyNumberFormat="1" applyFont="1" applyBorder="1"/>
    <xf numFmtId="168" fontId="4" fillId="0" borderId="0" xfId="0" applyNumberFormat="1" applyFont="1"/>
    <xf numFmtId="165" fontId="4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4" fontId="4" fillId="0" borderId="1" xfId="3" applyNumberFormat="1" applyFont="1" applyBorder="1" applyAlignment="1">
      <alignment horizontal="center" vertical="center"/>
    </xf>
    <xf numFmtId="164" fontId="4" fillId="0" borderId="1" xfId="0" applyNumberFormat="1" applyFont="1" applyBorder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167" fontId="3" fillId="13" borderId="1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1" xfId="0" applyFont="1" applyFill="1" applyBorder="1"/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/>
    </xf>
    <xf numFmtId="165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65" fontId="3" fillId="12" borderId="1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167" fontId="3" fillId="9" borderId="1" xfId="0" applyNumberFormat="1" applyFont="1" applyFill="1" applyBorder="1"/>
    <xf numFmtId="167" fontId="3" fillId="12" borderId="1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/>
    <xf numFmtId="164" fontId="3" fillId="14" borderId="1" xfId="0" applyNumberFormat="1" applyFont="1" applyFill="1" applyBorder="1"/>
    <xf numFmtId="164" fontId="3" fillId="4" borderId="1" xfId="0" applyNumberFormat="1" applyFont="1" applyFill="1" applyBorder="1"/>
    <xf numFmtId="0" fontId="4" fillId="0" borderId="0" xfId="0" applyFont="1" applyFill="1"/>
    <xf numFmtId="42" fontId="4" fillId="0" borderId="0" xfId="5" applyFont="1" applyFill="1" applyAlignment="1"/>
    <xf numFmtId="167" fontId="4" fillId="0" borderId="0" xfId="0" applyNumberFormat="1" applyFont="1" applyFill="1"/>
    <xf numFmtId="0" fontId="4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167" fontId="4" fillId="0" borderId="1" xfId="0" applyNumberFormat="1" applyFont="1" applyFill="1" applyBorder="1"/>
    <xf numFmtId="0" fontId="3" fillId="0" borderId="1" xfId="0" applyFont="1" applyFill="1" applyBorder="1"/>
    <xf numFmtId="9" fontId="4" fillId="0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3" fillId="0" borderId="6" xfId="0" applyFont="1" applyFill="1" applyBorder="1" applyAlignment="1"/>
    <xf numFmtId="6" fontId="6" fillId="0" borderId="1" xfId="0" applyNumberFormat="1" applyFont="1" applyFill="1" applyBorder="1" applyAlignment="1">
      <alignment horizontal="center"/>
    </xf>
    <xf numFmtId="6" fontId="4" fillId="0" borderId="1" xfId="0" applyNumberFormat="1" applyFont="1" applyFill="1" applyBorder="1" applyAlignment="1">
      <alignment horizontal="center"/>
    </xf>
    <xf numFmtId="6" fontId="3" fillId="3" borderId="1" xfId="0" applyNumberFormat="1" applyFont="1" applyFill="1" applyBorder="1" applyAlignment="1">
      <alignment horizontal="center"/>
    </xf>
    <xf numFmtId="167" fontId="6" fillId="0" borderId="1" xfId="0" applyNumberFormat="1" applyFont="1" applyFill="1" applyBorder="1" applyAlignment="1">
      <alignment horizontal="center"/>
    </xf>
    <xf numFmtId="167" fontId="4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7" fontId="3" fillId="5" borderId="1" xfId="0" applyNumberFormat="1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9" fontId="4" fillId="16" borderId="1" xfId="0" applyNumberFormat="1" applyFont="1" applyFill="1" applyBorder="1"/>
    <xf numFmtId="2" fontId="4" fillId="0" borderId="1" xfId="0" applyNumberFormat="1" applyFont="1" applyFill="1" applyBorder="1"/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64" fontId="4" fillId="0" borderId="0" xfId="0" applyNumberFormat="1" applyFont="1"/>
    <xf numFmtId="0" fontId="3" fillId="13" borderId="1" xfId="0" applyFont="1" applyFill="1" applyBorder="1" applyAlignment="1">
      <alignment horizontal="center"/>
    </xf>
    <xf numFmtId="167" fontId="4" fillId="0" borderId="2" xfId="0" applyNumberFormat="1" applyFont="1" applyBorder="1" applyAlignment="1">
      <alignment horizontal="left" indent="1"/>
    </xf>
    <xf numFmtId="0" fontId="4" fillId="0" borderId="3" xfId="0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right"/>
    </xf>
    <xf numFmtId="1" fontId="4" fillId="0" borderId="1" xfId="0" applyNumberFormat="1" applyFont="1" applyFill="1" applyBorder="1"/>
  </cellXfs>
  <cellStyles count="6">
    <cellStyle name="Comma" xfId="1" builtinId="3"/>
    <cellStyle name="Comma [0]" xfId="2" builtinId="6"/>
    <cellStyle name="Currency" xfId="3" builtinId="4"/>
    <cellStyle name="Currency [0]" xfId="5" builtinId="7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A13F-6F5C-4FCD-BDC7-1FC90EAB6EDD}">
  <dimension ref="B3:H90"/>
  <sheetViews>
    <sheetView tabSelected="1" zoomScale="90" zoomScaleNormal="90" workbookViewId="0">
      <selection activeCell="F17" sqref="F17"/>
    </sheetView>
  </sheetViews>
  <sheetFormatPr defaultRowHeight="15.75" x14ac:dyDescent="0.25"/>
  <cols>
    <col min="1" max="1" width="9.140625" style="7"/>
    <col min="2" max="2" width="19.28515625" style="7" customWidth="1"/>
    <col min="3" max="3" width="26.7109375" style="7" bestFit="1" customWidth="1"/>
    <col min="4" max="4" width="24" style="7" bestFit="1" customWidth="1"/>
    <col min="5" max="5" width="21.85546875" style="7" bestFit="1" customWidth="1"/>
    <col min="6" max="6" width="21.7109375" style="7" bestFit="1" customWidth="1"/>
    <col min="7" max="7" width="19.42578125" style="7" bestFit="1" customWidth="1"/>
    <col min="8" max="8" width="18.42578125" style="7" bestFit="1" customWidth="1"/>
    <col min="9" max="10" width="13.7109375" style="7" customWidth="1"/>
    <col min="11" max="11" width="21.42578125" style="7" bestFit="1" customWidth="1"/>
    <col min="12" max="14" width="18.5703125" style="7" bestFit="1" customWidth="1"/>
    <col min="15" max="16384" width="9.140625" style="7"/>
  </cols>
  <sheetData>
    <row r="3" spans="2:8" x14ac:dyDescent="0.25">
      <c r="B3" s="99" t="s">
        <v>145</v>
      </c>
      <c r="C3" s="100"/>
      <c r="D3" s="100"/>
      <c r="E3" s="100"/>
      <c r="F3" s="100"/>
      <c r="G3" s="100"/>
      <c r="H3" s="101"/>
    </row>
    <row r="4" spans="2:8" x14ac:dyDescent="0.25">
      <c r="B4" s="22" t="s">
        <v>2</v>
      </c>
      <c r="C4" s="26" t="s">
        <v>173</v>
      </c>
      <c r="D4" s="26" t="s">
        <v>21</v>
      </c>
      <c r="E4" s="26" t="s">
        <v>22</v>
      </c>
      <c r="F4" s="26" t="s">
        <v>23</v>
      </c>
      <c r="G4" s="26" t="s">
        <v>26</v>
      </c>
      <c r="H4" s="26" t="s">
        <v>25</v>
      </c>
    </row>
    <row r="5" spans="2:8" x14ac:dyDescent="0.25">
      <c r="B5" s="2" t="s">
        <v>174</v>
      </c>
      <c r="C5" s="13">
        <f>C19</f>
        <v>190585000</v>
      </c>
      <c r="D5" s="13"/>
      <c r="E5" s="13"/>
      <c r="F5" s="13"/>
      <c r="G5" s="13"/>
      <c r="H5" s="13"/>
    </row>
    <row r="6" spans="2:8" x14ac:dyDescent="0.25">
      <c r="B6" s="2" t="s">
        <v>175</v>
      </c>
      <c r="C6" s="13"/>
      <c r="D6" s="13">
        <f>Sheet2!C20</f>
        <v>913500000</v>
      </c>
      <c r="E6" s="13">
        <f>Sheet2!D20</f>
        <v>1263600000</v>
      </c>
      <c r="F6" s="13">
        <f>Sheet2!E20</f>
        <v>1680600000</v>
      </c>
      <c r="G6" s="13">
        <f>Sheet2!F20</f>
        <v>2115300000</v>
      </c>
      <c r="H6" s="13">
        <f>Sheet2!G20</f>
        <v>2702100000</v>
      </c>
    </row>
    <row r="7" spans="2:8" x14ac:dyDescent="0.25">
      <c r="B7" s="2" t="s">
        <v>176</v>
      </c>
      <c r="C7" s="13"/>
      <c r="D7" s="13">
        <f>Sheet2!C173</f>
        <v>416386000</v>
      </c>
      <c r="E7" s="13">
        <f>Sheet2!D173</f>
        <v>472371400</v>
      </c>
      <c r="F7" s="13">
        <f>Sheet2!E173</f>
        <v>550098352</v>
      </c>
      <c r="G7" s="13">
        <f>Sheet2!F173</f>
        <v>651125946.39999998</v>
      </c>
      <c r="H7" s="13">
        <f>Sheet2!G173</f>
        <v>799839299.60000002</v>
      </c>
    </row>
    <row r="8" spans="2:8" x14ac:dyDescent="0.25">
      <c r="B8" s="2" t="s">
        <v>151</v>
      </c>
      <c r="C8" s="13"/>
      <c r="D8" s="13">
        <f>D6-D7</f>
        <v>497114000</v>
      </c>
      <c r="E8" s="13">
        <f t="shared" ref="E8:H8" si="0">E6-E7</f>
        <v>791228600</v>
      </c>
      <c r="F8" s="13">
        <f t="shared" si="0"/>
        <v>1130501648</v>
      </c>
      <c r="G8" s="13">
        <f t="shared" si="0"/>
        <v>1464174053.5999999</v>
      </c>
      <c r="H8" s="13">
        <f t="shared" si="0"/>
        <v>1902260700.4000001</v>
      </c>
    </row>
    <row r="9" spans="2:8" x14ac:dyDescent="0.25">
      <c r="B9" s="2" t="s">
        <v>177</v>
      </c>
      <c r="C9" s="13"/>
      <c r="D9" s="13">
        <f>$D$68</f>
        <v>29702000</v>
      </c>
      <c r="E9" s="13">
        <f>$D$68</f>
        <v>29702000</v>
      </c>
      <c r="F9" s="13">
        <f>$D$68</f>
        <v>29702000</v>
      </c>
      <c r="G9" s="13">
        <f>$D$68</f>
        <v>29702000</v>
      </c>
      <c r="H9" s="13">
        <f>$D$68</f>
        <v>29702000</v>
      </c>
    </row>
    <row r="10" spans="2:8" x14ac:dyDescent="0.25">
      <c r="B10" s="2" t="s">
        <v>153</v>
      </c>
      <c r="C10" s="13"/>
      <c r="D10" s="102">
        <f>D8-D9</f>
        <v>467412000</v>
      </c>
      <c r="E10" s="102">
        <f>E8-E9</f>
        <v>761526600</v>
      </c>
      <c r="F10" s="102">
        <f t="shared" ref="F10:H10" si="1">F8-F9</f>
        <v>1100799648</v>
      </c>
      <c r="G10" s="102">
        <f t="shared" si="1"/>
        <v>1434472053.5999999</v>
      </c>
      <c r="H10" s="102">
        <f t="shared" si="1"/>
        <v>1872558700.4000001</v>
      </c>
    </row>
    <row r="13" spans="2:8" x14ac:dyDescent="0.25">
      <c r="B13" s="103" t="s">
        <v>146</v>
      </c>
      <c r="C13" s="104"/>
    </row>
    <row r="14" spans="2:8" x14ac:dyDescent="0.25">
      <c r="B14" s="3" t="s">
        <v>147</v>
      </c>
      <c r="C14" s="4">
        <f>F66</f>
        <v>148510000</v>
      </c>
    </row>
    <row r="15" spans="2:8" x14ac:dyDescent="0.25">
      <c r="B15" s="3" t="s">
        <v>148</v>
      </c>
      <c r="C15" s="4">
        <f>E72</f>
        <v>40000000</v>
      </c>
    </row>
    <row r="16" spans="2:8" x14ac:dyDescent="0.25">
      <c r="B16" s="3" t="s">
        <v>149</v>
      </c>
      <c r="C16" s="4">
        <f>F78</f>
        <v>325000</v>
      </c>
    </row>
    <row r="17" spans="2:6" x14ac:dyDescent="0.25">
      <c r="B17" s="3" t="s">
        <v>150</v>
      </c>
      <c r="C17" s="4">
        <f>F85</f>
        <v>750000</v>
      </c>
    </row>
    <row r="18" spans="2:6" x14ac:dyDescent="0.25">
      <c r="B18" s="3" t="s">
        <v>172</v>
      </c>
      <c r="C18" s="4">
        <f>F90</f>
        <v>1000000</v>
      </c>
    </row>
    <row r="19" spans="2:6" x14ac:dyDescent="0.25">
      <c r="B19" s="165" t="s">
        <v>6</v>
      </c>
      <c r="C19" s="105">
        <f>SUM(C14:C18)</f>
        <v>190585000</v>
      </c>
    </row>
    <row r="22" spans="2:6" x14ac:dyDescent="0.25">
      <c r="B22" s="106" t="s">
        <v>0</v>
      </c>
      <c r="C22" s="106"/>
      <c r="D22" s="106"/>
      <c r="E22" s="106"/>
      <c r="F22" s="106"/>
    </row>
    <row r="23" spans="2:6" x14ac:dyDescent="0.25">
      <c r="B23" s="107" t="s">
        <v>1</v>
      </c>
      <c r="C23" s="107" t="s">
        <v>2</v>
      </c>
      <c r="D23" s="107" t="s">
        <v>3</v>
      </c>
      <c r="E23" s="107" t="s">
        <v>5</v>
      </c>
      <c r="F23" s="107" t="s">
        <v>6</v>
      </c>
    </row>
    <row r="24" spans="2:6" x14ac:dyDescent="0.25">
      <c r="B24" s="8">
        <v>1</v>
      </c>
      <c r="C24" s="95" t="s">
        <v>86</v>
      </c>
      <c r="D24" s="8">
        <v>6</v>
      </c>
      <c r="E24" s="97">
        <v>1200000</v>
      </c>
      <c r="F24" s="97">
        <f t="shared" ref="F24:F65" si="2">E24*D24</f>
        <v>7200000</v>
      </c>
    </row>
    <row r="25" spans="2:6" x14ac:dyDescent="0.25">
      <c r="B25" s="8">
        <v>2</v>
      </c>
      <c r="C25" s="95" t="s">
        <v>87</v>
      </c>
      <c r="D25" s="8">
        <v>24</v>
      </c>
      <c r="E25" s="97">
        <v>250000</v>
      </c>
      <c r="F25" s="97">
        <f t="shared" si="2"/>
        <v>6000000</v>
      </c>
    </row>
    <row r="26" spans="2:6" x14ac:dyDescent="0.25">
      <c r="B26" s="8">
        <v>3</v>
      </c>
      <c r="C26" s="95" t="s">
        <v>88</v>
      </c>
      <c r="D26" s="8">
        <v>2</v>
      </c>
      <c r="E26" s="97">
        <v>2500000</v>
      </c>
      <c r="F26" s="97">
        <f t="shared" si="2"/>
        <v>5000000</v>
      </c>
    </row>
    <row r="27" spans="2:6" x14ac:dyDescent="0.25">
      <c r="B27" s="8">
        <v>4</v>
      </c>
      <c r="C27" s="95" t="s">
        <v>217</v>
      </c>
      <c r="D27" s="8">
        <v>5</v>
      </c>
      <c r="E27" s="97">
        <v>150000</v>
      </c>
      <c r="F27" s="97">
        <f t="shared" si="2"/>
        <v>750000</v>
      </c>
    </row>
    <row r="28" spans="2:6" x14ac:dyDescent="0.25">
      <c r="B28" s="8">
        <v>5</v>
      </c>
      <c r="C28" s="95" t="s">
        <v>218</v>
      </c>
      <c r="D28" s="8">
        <v>5</v>
      </c>
      <c r="E28" s="97">
        <v>150000</v>
      </c>
      <c r="F28" s="97">
        <f t="shared" si="2"/>
        <v>750000</v>
      </c>
    </row>
    <row r="29" spans="2:6" x14ac:dyDescent="0.25">
      <c r="B29" s="8">
        <v>6</v>
      </c>
      <c r="C29" s="95" t="s">
        <v>219</v>
      </c>
      <c r="D29" s="8">
        <v>5</v>
      </c>
      <c r="E29" s="97">
        <v>150000</v>
      </c>
      <c r="F29" s="97">
        <f t="shared" si="2"/>
        <v>750000</v>
      </c>
    </row>
    <row r="30" spans="2:6" x14ac:dyDescent="0.25">
      <c r="B30" s="8">
        <v>7</v>
      </c>
      <c r="C30" s="95" t="s">
        <v>220</v>
      </c>
      <c r="D30" s="8">
        <v>5</v>
      </c>
      <c r="E30" s="97">
        <v>70000</v>
      </c>
      <c r="F30" s="97">
        <f t="shared" si="2"/>
        <v>350000</v>
      </c>
    </row>
    <row r="31" spans="2:6" x14ac:dyDescent="0.25">
      <c r="B31" s="8">
        <v>8</v>
      </c>
      <c r="C31" s="95" t="s">
        <v>221</v>
      </c>
      <c r="D31" s="8">
        <v>5</v>
      </c>
      <c r="E31" s="97">
        <v>100000</v>
      </c>
      <c r="F31" s="97">
        <f t="shared" si="2"/>
        <v>500000</v>
      </c>
    </row>
    <row r="32" spans="2:6" x14ac:dyDescent="0.25">
      <c r="B32" s="8">
        <v>9</v>
      </c>
      <c r="C32" s="95" t="s">
        <v>222</v>
      </c>
      <c r="D32" s="8">
        <v>5</v>
      </c>
      <c r="E32" s="97">
        <v>120000</v>
      </c>
      <c r="F32" s="97">
        <f t="shared" si="2"/>
        <v>600000</v>
      </c>
    </row>
    <row r="33" spans="2:6" x14ac:dyDescent="0.25">
      <c r="B33" s="8">
        <v>10</v>
      </c>
      <c r="C33" s="95" t="s">
        <v>223</v>
      </c>
      <c r="D33" s="8">
        <v>5</v>
      </c>
      <c r="E33" s="97">
        <v>150000</v>
      </c>
      <c r="F33" s="97">
        <f t="shared" si="2"/>
        <v>750000</v>
      </c>
    </row>
    <row r="34" spans="2:6" x14ac:dyDescent="0.25">
      <c r="B34" s="8">
        <v>11</v>
      </c>
      <c r="C34" s="95" t="s">
        <v>224</v>
      </c>
      <c r="D34" s="8">
        <v>5</v>
      </c>
      <c r="E34" s="97">
        <v>5000000</v>
      </c>
      <c r="F34" s="97">
        <f t="shared" si="2"/>
        <v>25000000</v>
      </c>
    </row>
    <row r="35" spans="2:6" x14ac:dyDescent="0.25">
      <c r="B35" s="8">
        <v>12</v>
      </c>
      <c r="C35" s="95" t="s">
        <v>89</v>
      </c>
      <c r="D35" s="8">
        <v>10</v>
      </c>
      <c r="E35" s="97">
        <v>35000</v>
      </c>
      <c r="F35" s="97">
        <f t="shared" si="2"/>
        <v>350000</v>
      </c>
    </row>
    <row r="36" spans="2:6" x14ac:dyDescent="0.25">
      <c r="B36" s="8">
        <v>13</v>
      </c>
      <c r="C36" s="95" t="s">
        <v>90</v>
      </c>
      <c r="D36" s="8">
        <v>5</v>
      </c>
      <c r="E36" s="97">
        <v>150000</v>
      </c>
      <c r="F36" s="97">
        <f t="shared" si="2"/>
        <v>750000</v>
      </c>
    </row>
    <row r="37" spans="2:6" x14ac:dyDescent="0.25">
      <c r="B37" s="8">
        <v>14</v>
      </c>
      <c r="C37" s="95" t="s">
        <v>91</v>
      </c>
      <c r="D37" s="8">
        <v>5</v>
      </c>
      <c r="E37" s="97">
        <v>15000</v>
      </c>
      <c r="F37" s="97">
        <f t="shared" si="2"/>
        <v>75000</v>
      </c>
    </row>
    <row r="38" spans="2:6" x14ac:dyDescent="0.25">
      <c r="B38" s="8">
        <v>15</v>
      </c>
      <c r="C38" s="95" t="s">
        <v>92</v>
      </c>
      <c r="D38" s="8">
        <v>10</v>
      </c>
      <c r="E38" s="97">
        <v>20000</v>
      </c>
      <c r="F38" s="97">
        <f t="shared" si="2"/>
        <v>200000</v>
      </c>
    </row>
    <row r="39" spans="2:6" x14ac:dyDescent="0.25">
      <c r="B39" s="8">
        <v>16</v>
      </c>
      <c r="C39" s="95" t="s">
        <v>93</v>
      </c>
      <c r="D39" s="8">
        <v>10</v>
      </c>
      <c r="E39" s="97">
        <v>25000</v>
      </c>
      <c r="F39" s="97">
        <f t="shared" si="2"/>
        <v>250000</v>
      </c>
    </row>
    <row r="40" spans="2:6" x14ac:dyDescent="0.25">
      <c r="B40" s="8">
        <v>17</v>
      </c>
      <c r="C40" s="95" t="s">
        <v>94</v>
      </c>
      <c r="D40" s="8">
        <v>6</v>
      </c>
      <c r="E40" s="97">
        <v>15000</v>
      </c>
      <c r="F40" s="97">
        <f t="shared" si="2"/>
        <v>90000</v>
      </c>
    </row>
    <row r="41" spans="2:6" x14ac:dyDescent="0.25">
      <c r="B41" s="8">
        <v>18</v>
      </c>
      <c r="C41" s="95" t="s">
        <v>95</v>
      </c>
      <c r="D41" s="8">
        <v>5</v>
      </c>
      <c r="E41" s="97">
        <v>200000</v>
      </c>
      <c r="F41" s="97">
        <f t="shared" si="2"/>
        <v>1000000</v>
      </c>
    </row>
    <row r="42" spans="2:6" x14ac:dyDescent="0.25">
      <c r="B42" s="8">
        <v>19</v>
      </c>
      <c r="C42" s="95" t="s">
        <v>96</v>
      </c>
      <c r="D42" s="8">
        <v>5</v>
      </c>
      <c r="E42" s="97">
        <v>50000</v>
      </c>
      <c r="F42" s="97">
        <f t="shared" si="2"/>
        <v>250000</v>
      </c>
    </row>
    <row r="43" spans="2:6" x14ac:dyDescent="0.25">
      <c r="B43" s="8">
        <v>20</v>
      </c>
      <c r="C43" s="95" t="s">
        <v>97</v>
      </c>
      <c r="D43" s="8">
        <v>5</v>
      </c>
      <c r="E43" s="97">
        <v>350000</v>
      </c>
      <c r="F43" s="97">
        <f t="shared" si="2"/>
        <v>1750000</v>
      </c>
    </row>
    <row r="44" spans="2:6" x14ac:dyDescent="0.25">
      <c r="B44" s="8">
        <v>21</v>
      </c>
      <c r="C44" s="95" t="s">
        <v>98</v>
      </c>
      <c r="D44" s="8">
        <v>30</v>
      </c>
      <c r="E44" s="97">
        <v>7000</v>
      </c>
      <c r="F44" s="97">
        <f t="shared" si="2"/>
        <v>210000</v>
      </c>
    </row>
    <row r="45" spans="2:6" x14ac:dyDescent="0.25">
      <c r="B45" s="8">
        <v>22</v>
      </c>
      <c r="C45" s="95" t="s">
        <v>99</v>
      </c>
      <c r="D45" s="8">
        <v>30</v>
      </c>
      <c r="E45" s="97">
        <v>7000</v>
      </c>
      <c r="F45" s="97">
        <f t="shared" si="2"/>
        <v>210000</v>
      </c>
    </row>
    <row r="46" spans="2:6" x14ac:dyDescent="0.25">
      <c r="B46" s="8">
        <v>23</v>
      </c>
      <c r="C46" s="95" t="s">
        <v>204</v>
      </c>
      <c r="D46" s="8">
        <v>30</v>
      </c>
      <c r="E46" s="97">
        <v>20000</v>
      </c>
      <c r="F46" s="97">
        <f t="shared" si="2"/>
        <v>600000</v>
      </c>
    </row>
    <row r="47" spans="2:6" x14ac:dyDescent="0.25">
      <c r="B47" s="8">
        <v>24</v>
      </c>
      <c r="C47" s="95" t="s">
        <v>205</v>
      </c>
      <c r="D47" s="8">
        <v>30</v>
      </c>
      <c r="E47" s="97">
        <v>18000</v>
      </c>
      <c r="F47" s="97">
        <f t="shared" si="2"/>
        <v>540000</v>
      </c>
    </row>
    <row r="48" spans="2:6" x14ac:dyDescent="0.25">
      <c r="B48" s="8">
        <v>25</v>
      </c>
      <c r="C48" s="95" t="s">
        <v>100</v>
      </c>
      <c r="D48" s="8">
        <v>10</v>
      </c>
      <c r="E48" s="97">
        <v>8000</v>
      </c>
      <c r="F48" s="97">
        <f t="shared" si="2"/>
        <v>80000</v>
      </c>
    </row>
    <row r="49" spans="2:6" x14ac:dyDescent="0.25">
      <c r="B49" s="8">
        <v>26</v>
      </c>
      <c r="C49" s="95" t="s">
        <v>101</v>
      </c>
      <c r="D49" s="8">
        <v>3</v>
      </c>
      <c r="E49" s="97">
        <v>25000</v>
      </c>
      <c r="F49" s="97">
        <f t="shared" si="2"/>
        <v>75000</v>
      </c>
    </row>
    <row r="50" spans="2:6" x14ac:dyDescent="0.25">
      <c r="B50" s="8">
        <v>27</v>
      </c>
      <c r="C50" s="95" t="s">
        <v>102</v>
      </c>
      <c r="D50" s="8">
        <v>30</v>
      </c>
      <c r="E50" s="97">
        <v>15000</v>
      </c>
      <c r="F50" s="97">
        <f t="shared" si="2"/>
        <v>450000</v>
      </c>
    </row>
    <row r="51" spans="2:6" x14ac:dyDescent="0.25">
      <c r="B51" s="8">
        <v>28</v>
      </c>
      <c r="C51" s="95" t="s">
        <v>103</v>
      </c>
      <c r="D51" s="8">
        <v>10</v>
      </c>
      <c r="E51" s="97">
        <v>13000</v>
      </c>
      <c r="F51" s="97">
        <f t="shared" si="2"/>
        <v>130000</v>
      </c>
    </row>
    <row r="52" spans="2:6" x14ac:dyDescent="0.25">
      <c r="B52" s="8">
        <v>29</v>
      </c>
      <c r="C52" s="95" t="s">
        <v>125</v>
      </c>
      <c r="D52" s="8">
        <v>3</v>
      </c>
      <c r="E52" s="97">
        <v>1500000</v>
      </c>
      <c r="F52" s="97">
        <f t="shared" si="2"/>
        <v>4500000</v>
      </c>
    </row>
    <row r="53" spans="2:6" x14ac:dyDescent="0.25">
      <c r="B53" s="8">
        <v>30</v>
      </c>
      <c r="C53" s="95" t="s">
        <v>143</v>
      </c>
      <c r="D53" s="8">
        <v>2</v>
      </c>
      <c r="E53" s="97">
        <v>22000000</v>
      </c>
      <c r="F53" s="97">
        <f t="shared" si="2"/>
        <v>44000000</v>
      </c>
    </row>
    <row r="54" spans="2:6" x14ac:dyDescent="0.25">
      <c r="B54" s="8">
        <v>31</v>
      </c>
      <c r="C54" s="95" t="s">
        <v>144</v>
      </c>
      <c r="D54" s="8">
        <v>2</v>
      </c>
      <c r="E54" s="97">
        <v>1200000</v>
      </c>
      <c r="F54" s="97">
        <f t="shared" si="2"/>
        <v>2400000</v>
      </c>
    </row>
    <row r="55" spans="2:6" x14ac:dyDescent="0.25">
      <c r="B55" s="8">
        <v>32</v>
      </c>
      <c r="C55" s="95" t="s">
        <v>211</v>
      </c>
      <c r="D55" s="8">
        <v>4</v>
      </c>
      <c r="E55" s="97">
        <v>4000000</v>
      </c>
      <c r="F55" s="97">
        <f t="shared" si="2"/>
        <v>16000000</v>
      </c>
    </row>
    <row r="56" spans="2:6" x14ac:dyDescent="0.25">
      <c r="B56" s="8">
        <v>33</v>
      </c>
      <c r="C56" s="95" t="s">
        <v>212</v>
      </c>
      <c r="D56" s="8">
        <v>6</v>
      </c>
      <c r="E56" s="97">
        <v>350000</v>
      </c>
      <c r="F56" s="97">
        <f t="shared" si="2"/>
        <v>2100000</v>
      </c>
    </row>
    <row r="57" spans="2:6" x14ac:dyDescent="0.25">
      <c r="B57" s="8">
        <v>34</v>
      </c>
      <c r="C57" s="95" t="s">
        <v>213</v>
      </c>
      <c r="D57" s="8">
        <v>3</v>
      </c>
      <c r="E57" s="97">
        <v>550000</v>
      </c>
      <c r="F57" s="97">
        <f t="shared" si="2"/>
        <v>1650000</v>
      </c>
    </row>
    <row r="58" spans="2:6" x14ac:dyDescent="0.25">
      <c r="B58" s="8">
        <v>35</v>
      </c>
      <c r="C58" s="95" t="s">
        <v>216</v>
      </c>
      <c r="D58" s="8">
        <v>10</v>
      </c>
      <c r="E58" s="97">
        <v>1200000</v>
      </c>
      <c r="F58" s="97">
        <f t="shared" si="2"/>
        <v>12000000</v>
      </c>
    </row>
    <row r="59" spans="2:6" x14ac:dyDescent="0.25">
      <c r="B59" s="8">
        <v>36</v>
      </c>
      <c r="C59" s="95" t="s">
        <v>225</v>
      </c>
      <c r="D59" s="8">
        <v>20</v>
      </c>
      <c r="E59" s="97">
        <v>50000</v>
      </c>
      <c r="F59" s="97">
        <f t="shared" si="2"/>
        <v>1000000</v>
      </c>
    </row>
    <row r="60" spans="2:6" x14ac:dyDescent="0.25">
      <c r="B60" s="8">
        <v>37</v>
      </c>
      <c r="C60" s="95" t="s">
        <v>226</v>
      </c>
      <c r="D60" s="8">
        <v>8</v>
      </c>
      <c r="E60" s="97">
        <v>150000</v>
      </c>
      <c r="F60" s="97">
        <f t="shared" si="2"/>
        <v>1200000</v>
      </c>
    </row>
    <row r="61" spans="2:6" x14ac:dyDescent="0.25">
      <c r="B61" s="8">
        <v>38</v>
      </c>
      <c r="C61" s="95" t="s">
        <v>227</v>
      </c>
      <c r="D61" s="8">
        <v>2</v>
      </c>
      <c r="E61" s="97">
        <v>4500000</v>
      </c>
      <c r="F61" s="97">
        <f t="shared" si="2"/>
        <v>9000000</v>
      </c>
    </row>
    <row r="62" spans="2:6" x14ac:dyDescent="0.25">
      <c r="B62" s="8">
        <v>39</v>
      </c>
      <c r="C62" s="95" t="s">
        <v>228</v>
      </c>
      <c r="D62" s="8">
        <v>1</v>
      </c>
      <c r="E62" s="97">
        <v>1500000</v>
      </c>
      <c r="F62" s="97">
        <f t="shared" si="2"/>
        <v>1500000</v>
      </c>
    </row>
    <row r="63" spans="2:6" x14ac:dyDescent="0.25">
      <c r="B63" s="8">
        <v>40</v>
      </c>
      <c r="C63" s="95" t="s">
        <v>229</v>
      </c>
      <c r="D63" s="8">
        <v>1</v>
      </c>
      <c r="E63" s="97">
        <v>350000</v>
      </c>
      <c r="F63" s="97">
        <f t="shared" si="2"/>
        <v>350000</v>
      </c>
    </row>
    <row r="64" spans="2:6" x14ac:dyDescent="0.25">
      <c r="B64" s="8">
        <v>41</v>
      </c>
      <c r="C64" s="95" t="s">
        <v>230</v>
      </c>
      <c r="D64" s="8">
        <v>2</v>
      </c>
      <c r="E64" s="97">
        <v>250000</v>
      </c>
      <c r="F64" s="97">
        <f t="shared" si="2"/>
        <v>500000</v>
      </c>
    </row>
    <row r="65" spans="2:6" x14ac:dyDescent="0.25">
      <c r="B65" s="8">
        <v>42</v>
      </c>
      <c r="C65" s="95" t="s">
        <v>231</v>
      </c>
      <c r="D65" s="8">
        <v>5</v>
      </c>
      <c r="E65" s="97">
        <v>100000</v>
      </c>
      <c r="F65" s="97">
        <f t="shared" si="2"/>
        <v>500000</v>
      </c>
    </row>
    <row r="66" spans="2:6" x14ac:dyDescent="0.25">
      <c r="B66" s="106" t="s">
        <v>12</v>
      </c>
      <c r="C66" s="106"/>
      <c r="D66" s="106"/>
      <c r="E66" s="106"/>
      <c r="F66" s="136">
        <f>SUM(F24:F61)</f>
        <v>148510000</v>
      </c>
    </row>
    <row r="68" spans="2:6" x14ac:dyDescent="0.25">
      <c r="B68" s="77" t="s">
        <v>203</v>
      </c>
      <c r="C68" s="77"/>
      <c r="D68" s="91">
        <f>F66*20%</f>
        <v>29702000</v>
      </c>
    </row>
    <row r="69" spans="2:6" x14ac:dyDescent="0.25">
      <c r="C69" s="92"/>
    </row>
    <row r="70" spans="2:6" x14ac:dyDescent="0.25">
      <c r="B70" s="108" t="s">
        <v>7</v>
      </c>
      <c r="C70" s="108"/>
      <c r="D70" s="108"/>
      <c r="E70" s="108"/>
      <c r="F70" s="108"/>
    </row>
    <row r="71" spans="2:6" x14ac:dyDescent="0.25">
      <c r="B71" s="109" t="s">
        <v>8</v>
      </c>
      <c r="C71" s="109" t="s">
        <v>2</v>
      </c>
      <c r="D71" s="109" t="s">
        <v>126</v>
      </c>
      <c r="E71" s="109" t="s">
        <v>9</v>
      </c>
      <c r="F71" s="110" t="s">
        <v>10</v>
      </c>
    </row>
    <row r="72" spans="2:6" x14ac:dyDescent="0.25">
      <c r="B72" s="8">
        <v>1</v>
      </c>
      <c r="C72" s="3" t="s">
        <v>11</v>
      </c>
      <c r="D72" s="9">
        <v>5</v>
      </c>
      <c r="E72" s="66">
        <v>40000000</v>
      </c>
      <c r="F72" s="98">
        <f>(D72*E72)/60</f>
        <v>3333333.3333333335</v>
      </c>
    </row>
    <row r="73" spans="2:6" x14ac:dyDescent="0.25">
      <c r="B73" s="111" t="s">
        <v>12</v>
      </c>
      <c r="C73" s="112"/>
      <c r="D73" s="112"/>
      <c r="E73" s="113"/>
      <c r="F73" s="135">
        <f>F72</f>
        <v>3333333.3333333335</v>
      </c>
    </row>
    <row r="75" spans="2:6" x14ac:dyDescent="0.25">
      <c r="B75" s="114" t="s">
        <v>18</v>
      </c>
      <c r="C75" s="114"/>
      <c r="D75" s="114"/>
      <c r="E75" s="114"/>
      <c r="F75" s="114"/>
    </row>
    <row r="76" spans="2:6" x14ac:dyDescent="0.25">
      <c r="B76" s="115" t="s">
        <v>8</v>
      </c>
      <c r="C76" s="115" t="s">
        <v>2</v>
      </c>
      <c r="D76" s="115" t="s">
        <v>3</v>
      </c>
      <c r="E76" s="115" t="s">
        <v>13</v>
      </c>
      <c r="F76" s="116" t="s">
        <v>6</v>
      </c>
    </row>
    <row r="77" spans="2:6" x14ac:dyDescent="0.25">
      <c r="B77" s="8">
        <v>1</v>
      </c>
      <c r="C77" s="93" t="s">
        <v>14</v>
      </c>
      <c r="D77" s="9">
        <v>5</v>
      </c>
      <c r="E77" s="93">
        <v>65000</v>
      </c>
      <c r="F77" s="94">
        <f>E77*D77</f>
        <v>325000</v>
      </c>
    </row>
    <row r="78" spans="2:6" x14ac:dyDescent="0.25">
      <c r="B78" s="117" t="s">
        <v>12</v>
      </c>
      <c r="C78" s="118"/>
      <c r="D78" s="118"/>
      <c r="E78" s="119"/>
      <c r="F78" s="134">
        <f>SUM(F77:F77)</f>
        <v>325000</v>
      </c>
    </row>
    <row r="81" spans="2:6" x14ac:dyDescent="0.25">
      <c r="B81" s="120" t="s">
        <v>15</v>
      </c>
      <c r="C81" s="120"/>
      <c r="D81" s="120"/>
      <c r="E81" s="120"/>
      <c r="F81" s="120"/>
    </row>
    <row r="82" spans="2:6" x14ac:dyDescent="0.25">
      <c r="B82" s="121" t="s">
        <v>8</v>
      </c>
      <c r="C82" s="122" t="s">
        <v>2</v>
      </c>
      <c r="D82" s="122" t="s">
        <v>3</v>
      </c>
      <c r="E82" s="122" t="s">
        <v>13</v>
      </c>
      <c r="F82" s="121" t="s">
        <v>6</v>
      </c>
    </row>
    <row r="83" spans="2:6" x14ac:dyDescent="0.25">
      <c r="B83" s="8">
        <v>1</v>
      </c>
      <c r="C83" s="95" t="s">
        <v>16</v>
      </c>
      <c r="D83" s="8">
        <v>3</v>
      </c>
      <c r="E83" s="96">
        <v>100000</v>
      </c>
      <c r="F83" s="96">
        <f>D83*E83</f>
        <v>300000</v>
      </c>
    </row>
    <row r="84" spans="2:6" x14ac:dyDescent="0.25">
      <c r="B84" s="8">
        <v>2</v>
      </c>
      <c r="C84" s="95" t="s">
        <v>17</v>
      </c>
      <c r="D84" s="8">
        <v>3</v>
      </c>
      <c r="E84" s="96">
        <v>150000</v>
      </c>
      <c r="F84" s="96">
        <f>D84*E84</f>
        <v>450000</v>
      </c>
    </row>
    <row r="85" spans="2:6" x14ac:dyDescent="0.25">
      <c r="B85" s="123" t="s">
        <v>12</v>
      </c>
      <c r="C85" s="124"/>
      <c r="D85" s="124"/>
      <c r="E85" s="125"/>
      <c r="F85" s="133">
        <f>SUM(F83:F84)</f>
        <v>750000</v>
      </c>
    </row>
    <row r="87" spans="2:6" x14ac:dyDescent="0.25">
      <c r="B87" s="126" t="s">
        <v>155</v>
      </c>
      <c r="C87" s="126"/>
      <c r="D87" s="126"/>
      <c r="E87" s="126"/>
      <c r="F87" s="126"/>
    </row>
    <row r="88" spans="2:6" x14ac:dyDescent="0.25">
      <c r="B88" s="127" t="s">
        <v>8</v>
      </c>
      <c r="C88" s="128" t="s">
        <v>2</v>
      </c>
      <c r="D88" s="128" t="s">
        <v>3</v>
      </c>
      <c r="E88" s="128" t="s">
        <v>154</v>
      </c>
      <c r="F88" s="127" t="s">
        <v>6</v>
      </c>
    </row>
    <row r="89" spans="2:6" x14ac:dyDescent="0.25">
      <c r="B89" s="9">
        <v>1</v>
      </c>
      <c r="C89" s="3" t="s">
        <v>152</v>
      </c>
      <c r="D89" s="9">
        <v>2</v>
      </c>
      <c r="E89" s="4">
        <v>500000</v>
      </c>
      <c r="F89" s="4">
        <f>D89*E89</f>
        <v>1000000</v>
      </c>
    </row>
    <row r="90" spans="2:6" x14ac:dyDescent="0.25">
      <c r="B90" s="129" t="s">
        <v>12</v>
      </c>
      <c r="C90" s="130"/>
      <c r="D90" s="130"/>
      <c r="E90" s="131"/>
      <c r="F90" s="132">
        <f>SUM(F89)</f>
        <v>1000000</v>
      </c>
    </row>
  </sheetData>
  <mergeCells count="13">
    <mergeCell ref="B3:H3"/>
    <mergeCell ref="B13:C13"/>
    <mergeCell ref="B68:C68"/>
    <mergeCell ref="B87:F87"/>
    <mergeCell ref="B90:E90"/>
    <mergeCell ref="B66:E66"/>
    <mergeCell ref="B85:E85"/>
    <mergeCell ref="B22:F22"/>
    <mergeCell ref="B73:E73"/>
    <mergeCell ref="B70:F70"/>
    <mergeCell ref="B75:F75"/>
    <mergeCell ref="B78:E78"/>
    <mergeCell ref="B81:F8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6043-3004-49BE-B058-7B1CBFE3FF66}">
  <dimension ref="B2:H295"/>
  <sheetViews>
    <sheetView zoomScale="90" zoomScaleNormal="90" workbookViewId="0">
      <selection activeCell="G30" sqref="G30"/>
    </sheetView>
  </sheetViews>
  <sheetFormatPr defaultRowHeight="15.75" x14ac:dyDescent="0.25"/>
  <cols>
    <col min="1" max="1" width="9.140625" style="7"/>
    <col min="2" max="2" width="52.28515625" style="7" bestFit="1" customWidth="1"/>
    <col min="3" max="3" width="18.7109375" style="7" customWidth="1"/>
    <col min="4" max="4" width="20.5703125" style="7" bestFit="1" customWidth="1"/>
    <col min="5" max="5" width="16.5703125" style="7" bestFit="1" customWidth="1"/>
    <col min="6" max="7" width="17" style="7" bestFit="1" customWidth="1"/>
    <col min="8" max="8" width="16.42578125" style="7" bestFit="1" customWidth="1"/>
    <col min="9" max="16384" width="9.140625" style="7"/>
  </cols>
  <sheetData>
    <row r="2" spans="2:7" x14ac:dyDescent="0.25">
      <c r="B2" s="77" t="s">
        <v>19</v>
      </c>
      <c r="C2" s="77"/>
      <c r="D2" s="77"/>
      <c r="E2" s="77"/>
      <c r="F2" s="77"/>
      <c r="G2" s="77"/>
    </row>
    <row r="3" spans="2:7" x14ac:dyDescent="0.25">
      <c r="B3" s="19" t="s">
        <v>20</v>
      </c>
      <c r="C3" s="29" t="s">
        <v>21</v>
      </c>
      <c r="D3" s="29" t="s">
        <v>22</v>
      </c>
      <c r="E3" s="29" t="s">
        <v>23</v>
      </c>
      <c r="F3" s="29" t="s">
        <v>26</v>
      </c>
      <c r="G3" s="29" t="s">
        <v>25</v>
      </c>
    </row>
    <row r="4" spans="2:7" x14ac:dyDescent="0.25">
      <c r="B4" s="2" t="s">
        <v>127</v>
      </c>
      <c r="C4" s="9"/>
      <c r="D4" s="9"/>
      <c r="E4" s="9"/>
      <c r="F4" s="9"/>
      <c r="G4" s="9"/>
    </row>
    <row r="5" spans="2:7" x14ac:dyDescent="0.25">
      <c r="B5" s="18" t="s">
        <v>141</v>
      </c>
      <c r="C5" s="3"/>
      <c r="D5" s="3"/>
      <c r="E5" s="3"/>
      <c r="F5" s="3"/>
      <c r="G5" s="3"/>
    </row>
    <row r="6" spans="2:7" x14ac:dyDescent="0.25">
      <c r="B6" s="21" t="s">
        <v>133</v>
      </c>
      <c r="C6" s="10">
        <f>C149</f>
        <v>45000000</v>
      </c>
      <c r="D6" s="10">
        <f>D149</f>
        <v>66300000</v>
      </c>
      <c r="E6" s="10">
        <f>E149</f>
        <v>84000000</v>
      </c>
      <c r="F6" s="10">
        <f>F149</f>
        <v>110400000</v>
      </c>
      <c r="G6" s="10">
        <f>G149</f>
        <v>129600000</v>
      </c>
    </row>
    <row r="7" spans="2:7" x14ac:dyDescent="0.25">
      <c r="B7" s="21" t="s">
        <v>134</v>
      </c>
      <c r="C7" s="10">
        <f t="shared" ref="C7:G7" si="0">C150</f>
        <v>84000000</v>
      </c>
      <c r="D7" s="10">
        <f t="shared" si="0"/>
        <v>117000000</v>
      </c>
      <c r="E7" s="10">
        <f t="shared" si="0"/>
        <v>158400000</v>
      </c>
      <c r="F7" s="10">
        <f t="shared" si="0"/>
        <v>210000000</v>
      </c>
      <c r="G7" s="10">
        <f t="shared" si="0"/>
        <v>278400000</v>
      </c>
    </row>
    <row r="8" spans="2:7" x14ac:dyDescent="0.25">
      <c r="B8" s="21" t="s">
        <v>135</v>
      </c>
      <c r="C8" s="10">
        <f t="shared" ref="C8:G8" si="1">C151</f>
        <v>81000000</v>
      </c>
      <c r="D8" s="10">
        <f t="shared" si="1"/>
        <v>120000000</v>
      </c>
      <c r="E8" s="10">
        <f t="shared" si="1"/>
        <v>168000000.00000006</v>
      </c>
      <c r="F8" s="10">
        <f t="shared" si="1"/>
        <v>211200000</v>
      </c>
      <c r="G8" s="10">
        <f t="shared" si="1"/>
        <v>288600000</v>
      </c>
    </row>
    <row r="9" spans="2:7" x14ac:dyDescent="0.25">
      <c r="B9" s="21" t="s">
        <v>136</v>
      </c>
      <c r="C9" s="10">
        <f t="shared" ref="C9:G9" si="2">C152</f>
        <v>135000000</v>
      </c>
      <c r="D9" s="10">
        <f t="shared" si="2"/>
        <v>181500000.00000006</v>
      </c>
      <c r="E9" s="10">
        <f t="shared" si="2"/>
        <v>241800000</v>
      </c>
      <c r="F9" s="10">
        <f t="shared" si="2"/>
        <v>298200000</v>
      </c>
      <c r="G9" s="10">
        <f t="shared" si="2"/>
        <v>369000000</v>
      </c>
    </row>
    <row r="10" spans="2:7" x14ac:dyDescent="0.25">
      <c r="B10" s="18" t="s">
        <v>142</v>
      </c>
      <c r="C10" s="10"/>
      <c r="D10" s="10"/>
      <c r="E10" s="10"/>
      <c r="F10" s="10"/>
      <c r="G10" s="10"/>
    </row>
    <row r="11" spans="2:7" x14ac:dyDescent="0.25">
      <c r="B11" s="21" t="s">
        <v>137</v>
      </c>
      <c r="C11" s="10">
        <f t="shared" ref="C11:G11" si="3">C154</f>
        <v>94500000</v>
      </c>
      <c r="D11" s="10">
        <f t="shared" si="3"/>
        <v>140400000</v>
      </c>
      <c r="E11" s="10">
        <f t="shared" si="3"/>
        <v>184800000</v>
      </c>
      <c r="F11" s="10">
        <f t="shared" si="3"/>
        <v>225000000</v>
      </c>
      <c r="G11" s="10">
        <f t="shared" si="3"/>
        <v>278400000</v>
      </c>
    </row>
    <row r="12" spans="2:7" x14ac:dyDescent="0.25">
      <c r="B12" s="21" t="s">
        <v>138</v>
      </c>
      <c r="C12" s="10">
        <f t="shared" ref="C12:G12" si="4">C155</f>
        <v>96000000</v>
      </c>
      <c r="D12" s="10">
        <f t="shared" si="4"/>
        <v>132000000</v>
      </c>
      <c r="E12" s="10">
        <f t="shared" si="4"/>
        <v>180000000</v>
      </c>
      <c r="F12" s="10">
        <f t="shared" si="4"/>
        <v>239400000</v>
      </c>
      <c r="G12" s="10">
        <f t="shared" si="4"/>
        <v>316800000</v>
      </c>
    </row>
    <row r="13" spans="2:7" x14ac:dyDescent="0.25">
      <c r="B13" s="21" t="s">
        <v>139</v>
      </c>
      <c r="C13" s="10">
        <f t="shared" ref="C13:G13" si="5">C156</f>
        <v>135000000</v>
      </c>
      <c r="D13" s="10">
        <f t="shared" si="5"/>
        <v>180000000</v>
      </c>
      <c r="E13" s="10">
        <f t="shared" si="5"/>
        <v>235200000.00000006</v>
      </c>
      <c r="F13" s="10">
        <f t="shared" si="5"/>
        <v>288000000</v>
      </c>
      <c r="G13" s="10">
        <f t="shared" si="5"/>
        <v>377400000</v>
      </c>
    </row>
    <row r="14" spans="2:7" x14ac:dyDescent="0.25">
      <c r="B14" s="21" t="s">
        <v>140</v>
      </c>
      <c r="C14" s="10">
        <f t="shared" ref="C14:G14" si="6">C157</f>
        <v>165000000</v>
      </c>
      <c r="D14" s="10">
        <f t="shared" si="6"/>
        <v>214500000.00000006</v>
      </c>
      <c r="E14" s="10">
        <f t="shared" si="6"/>
        <v>279000000</v>
      </c>
      <c r="F14" s="10">
        <f t="shared" si="6"/>
        <v>340800000</v>
      </c>
      <c r="G14" s="10">
        <f t="shared" si="6"/>
        <v>418200000</v>
      </c>
    </row>
    <row r="15" spans="2:7" x14ac:dyDescent="0.25">
      <c r="B15" s="2" t="s">
        <v>128</v>
      </c>
      <c r="C15" s="10"/>
      <c r="D15" s="10"/>
      <c r="E15" s="10"/>
      <c r="F15" s="10"/>
      <c r="G15" s="10"/>
    </row>
    <row r="16" spans="2:7" x14ac:dyDescent="0.25">
      <c r="B16" s="18" t="s">
        <v>129</v>
      </c>
      <c r="C16" s="10">
        <f t="shared" ref="C16:G16" si="7">C159</f>
        <v>24000000</v>
      </c>
      <c r="D16" s="10">
        <f t="shared" si="7"/>
        <v>36300000</v>
      </c>
      <c r="E16" s="10">
        <f t="shared" si="7"/>
        <v>50700000</v>
      </c>
      <c r="F16" s="10">
        <f t="shared" si="7"/>
        <v>67500000</v>
      </c>
      <c r="G16" s="10">
        <f t="shared" si="7"/>
        <v>86400000</v>
      </c>
    </row>
    <row r="17" spans="2:7" x14ac:dyDescent="0.25">
      <c r="B17" s="18" t="s">
        <v>130</v>
      </c>
      <c r="C17" s="10">
        <f t="shared" ref="C17:G17" si="8">C160</f>
        <v>21000000</v>
      </c>
      <c r="D17" s="10">
        <f t="shared" si="8"/>
        <v>28800000</v>
      </c>
      <c r="E17" s="10">
        <f t="shared" si="8"/>
        <v>37800000</v>
      </c>
      <c r="F17" s="10">
        <f t="shared" si="8"/>
        <v>52800000</v>
      </c>
      <c r="G17" s="10">
        <f t="shared" si="8"/>
        <v>66300000</v>
      </c>
    </row>
    <row r="18" spans="2:7" x14ac:dyDescent="0.25">
      <c r="B18" s="18" t="s">
        <v>131</v>
      </c>
      <c r="C18" s="10">
        <f t="shared" ref="C18:G18" si="9">C161</f>
        <v>18000000</v>
      </c>
      <c r="D18" s="10">
        <f t="shared" si="9"/>
        <v>25200000</v>
      </c>
      <c r="E18" s="10">
        <f t="shared" si="9"/>
        <v>33600000</v>
      </c>
      <c r="F18" s="10">
        <f t="shared" si="9"/>
        <v>38400000</v>
      </c>
      <c r="G18" s="10">
        <f t="shared" si="9"/>
        <v>51000000</v>
      </c>
    </row>
    <row r="19" spans="2:7" x14ac:dyDescent="0.25">
      <c r="B19" s="18" t="s">
        <v>132</v>
      </c>
      <c r="C19" s="10">
        <f t="shared" ref="C19:G19" si="10">C162</f>
        <v>15000000</v>
      </c>
      <c r="D19" s="10">
        <f t="shared" si="10"/>
        <v>21600000</v>
      </c>
      <c r="E19" s="10">
        <f t="shared" si="10"/>
        <v>27300000</v>
      </c>
      <c r="F19" s="10">
        <f t="shared" si="10"/>
        <v>33600000</v>
      </c>
      <c r="G19" s="10">
        <f t="shared" si="10"/>
        <v>42000000</v>
      </c>
    </row>
    <row r="20" spans="2:7" x14ac:dyDescent="0.25">
      <c r="B20" s="19" t="s">
        <v>6</v>
      </c>
      <c r="C20" s="25">
        <f>SUM(C6:C19)</f>
        <v>913500000</v>
      </c>
      <c r="D20" s="25">
        <f>SUM(D6:D19)</f>
        <v>1263600000</v>
      </c>
      <c r="E20" s="25">
        <f>SUM(E6:E19)</f>
        <v>1680600000</v>
      </c>
      <c r="F20" s="25">
        <f>SUM(F6:F19)</f>
        <v>2115300000</v>
      </c>
      <c r="G20" s="25">
        <f>SUM(G6:G19)</f>
        <v>2702100000</v>
      </c>
    </row>
    <row r="21" spans="2:7" x14ac:dyDescent="0.25">
      <c r="C21" s="23"/>
      <c r="D21" s="23"/>
      <c r="E21" s="23"/>
      <c r="F21" s="23"/>
      <c r="G21" s="23"/>
    </row>
    <row r="22" spans="2:7" x14ac:dyDescent="0.25">
      <c r="C22" s="23"/>
      <c r="D22" s="23"/>
      <c r="E22" s="23"/>
      <c r="F22" s="23"/>
      <c r="G22" s="23"/>
    </row>
    <row r="23" spans="2:7" x14ac:dyDescent="0.25">
      <c r="B23" s="22" t="s">
        <v>104</v>
      </c>
      <c r="C23" s="26" t="s">
        <v>21</v>
      </c>
      <c r="D23" s="26" t="s">
        <v>22</v>
      </c>
      <c r="E23" s="26" t="s">
        <v>23</v>
      </c>
      <c r="F23" s="26" t="s">
        <v>24</v>
      </c>
      <c r="G23" s="26" t="s">
        <v>25</v>
      </c>
    </row>
    <row r="24" spans="2:7" x14ac:dyDescent="0.25">
      <c r="B24" s="2" t="s">
        <v>127</v>
      </c>
      <c r="C24" s="3"/>
      <c r="D24" s="3"/>
      <c r="E24" s="3"/>
      <c r="F24" s="3"/>
      <c r="G24" s="3"/>
    </row>
    <row r="25" spans="2:7" x14ac:dyDescent="0.25">
      <c r="B25" s="18" t="s">
        <v>141</v>
      </c>
      <c r="C25" s="3"/>
      <c r="D25" s="3"/>
      <c r="E25" s="3"/>
      <c r="F25" s="3"/>
      <c r="G25" s="3"/>
    </row>
    <row r="26" spans="2:7" x14ac:dyDescent="0.25">
      <c r="B26" s="21" t="s">
        <v>133</v>
      </c>
      <c r="C26" s="9">
        <v>10</v>
      </c>
      <c r="D26" s="9">
        <f>C26+3</f>
        <v>13</v>
      </c>
      <c r="E26" s="9">
        <f>D26+1</f>
        <v>14</v>
      </c>
      <c r="F26" s="9">
        <f>E26+2</f>
        <v>16</v>
      </c>
      <c r="G26" s="9">
        <f>F26</f>
        <v>16</v>
      </c>
    </row>
    <row r="27" spans="2:7" x14ac:dyDescent="0.25">
      <c r="B27" s="21" t="s">
        <v>134</v>
      </c>
      <c r="C27" s="9">
        <v>8</v>
      </c>
      <c r="D27" s="9">
        <f>C27+2</f>
        <v>10</v>
      </c>
      <c r="E27" s="9">
        <f t="shared" ref="E27:E34" si="11">D27+2</f>
        <v>12</v>
      </c>
      <c r="F27" s="9">
        <f>E27+2</f>
        <v>14</v>
      </c>
      <c r="G27" s="9">
        <f>F27+2</f>
        <v>16</v>
      </c>
    </row>
    <row r="28" spans="2:7" x14ac:dyDescent="0.25">
      <c r="B28" s="21" t="s">
        <v>135</v>
      </c>
      <c r="C28" s="9">
        <v>6</v>
      </c>
      <c r="D28" s="9">
        <f>C28+2</f>
        <v>8</v>
      </c>
      <c r="E28" s="9">
        <f>D28+2</f>
        <v>10</v>
      </c>
      <c r="F28" s="9">
        <f>E28+1</f>
        <v>11</v>
      </c>
      <c r="G28" s="9">
        <f>F28+2</f>
        <v>13</v>
      </c>
    </row>
    <row r="29" spans="2:7" x14ac:dyDescent="0.25">
      <c r="B29" s="21" t="s">
        <v>136</v>
      </c>
      <c r="C29" s="9">
        <v>9</v>
      </c>
      <c r="D29" s="9">
        <f>C29+2</f>
        <v>11</v>
      </c>
      <c r="E29" s="9">
        <f t="shared" si="11"/>
        <v>13</v>
      </c>
      <c r="F29" s="9">
        <f>E29+1</f>
        <v>14</v>
      </c>
      <c r="G29" s="9">
        <f>F29+1</f>
        <v>15</v>
      </c>
    </row>
    <row r="30" spans="2:7" x14ac:dyDescent="0.25">
      <c r="B30" s="18" t="s">
        <v>142</v>
      </c>
      <c r="C30" s="9"/>
      <c r="D30" s="9"/>
      <c r="E30" s="9"/>
      <c r="F30" s="9"/>
      <c r="G30" s="9"/>
    </row>
    <row r="31" spans="2:7" x14ac:dyDescent="0.25">
      <c r="B31" s="21" t="s">
        <v>137</v>
      </c>
      <c r="C31" s="9">
        <v>9</v>
      </c>
      <c r="D31" s="9">
        <f>C31+3</f>
        <v>12</v>
      </c>
      <c r="E31" s="9">
        <f>D31+2</f>
        <v>14</v>
      </c>
      <c r="F31" s="9">
        <f>E31+1</f>
        <v>15</v>
      </c>
      <c r="G31" s="9">
        <f>F31+1</f>
        <v>16</v>
      </c>
    </row>
    <row r="32" spans="2:7" x14ac:dyDescent="0.25">
      <c r="B32" s="21" t="s">
        <v>138</v>
      </c>
      <c r="C32" s="9">
        <v>8</v>
      </c>
      <c r="D32" s="9">
        <f>C32+2</f>
        <v>10</v>
      </c>
      <c r="E32" s="9">
        <f t="shared" si="11"/>
        <v>12</v>
      </c>
      <c r="F32" s="9">
        <f>E32+2</f>
        <v>14</v>
      </c>
      <c r="G32" s="9">
        <f>F32+2</f>
        <v>16</v>
      </c>
    </row>
    <row r="33" spans="2:7" x14ac:dyDescent="0.25">
      <c r="B33" s="21" t="s">
        <v>139</v>
      </c>
      <c r="C33" s="9">
        <v>10</v>
      </c>
      <c r="D33" s="9">
        <f>C33+2</f>
        <v>12</v>
      </c>
      <c r="E33" s="9">
        <f>D33+2</f>
        <v>14</v>
      </c>
      <c r="F33" s="9">
        <f>E33+1</f>
        <v>15</v>
      </c>
      <c r="G33" s="9">
        <f>F33+2</f>
        <v>17</v>
      </c>
    </row>
    <row r="34" spans="2:7" x14ac:dyDescent="0.25">
      <c r="B34" s="21" t="s">
        <v>140</v>
      </c>
      <c r="C34" s="9">
        <v>11</v>
      </c>
      <c r="D34" s="9">
        <f>C34+2</f>
        <v>13</v>
      </c>
      <c r="E34" s="9">
        <f t="shared" si="11"/>
        <v>15</v>
      </c>
      <c r="F34" s="9">
        <f>E34+1</f>
        <v>16</v>
      </c>
      <c r="G34" s="9">
        <f>F34+1</f>
        <v>17</v>
      </c>
    </row>
    <row r="35" spans="2:7" x14ac:dyDescent="0.25">
      <c r="B35" s="2" t="s">
        <v>128</v>
      </c>
      <c r="C35" s="3"/>
      <c r="D35" s="3"/>
      <c r="E35" s="3"/>
      <c r="F35" s="3"/>
      <c r="G35" s="3"/>
    </row>
    <row r="36" spans="2:7" x14ac:dyDescent="0.25">
      <c r="B36" s="18" t="s">
        <v>129</v>
      </c>
      <c r="C36" s="9">
        <v>8</v>
      </c>
      <c r="D36" s="9">
        <f>C36+3</f>
        <v>11</v>
      </c>
      <c r="E36" s="9">
        <f>D36+2</f>
        <v>13</v>
      </c>
      <c r="F36" s="9">
        <f>E36+2</f>
        <v>15</v>
      </c>
      <c r="G36" s="9">
        <f>F36+1</f>
        <v>16</v>
      </c>
    </row>
    <row r="37" spans="2:7" x14ac:dyDescent="0.25">
      <c r="B37" s="18" t="s">
        <v>130</v>
      </c>
      <c r="C37" s="9">
        <v>10</v>
      </c>
      <c r="D37" s="9">
        <f>C37+2</f>
        <v>12</v>
      </c>
      <c r="E37" s="9">
        <f t="shared" ref="E37:E39" si="12">D37+2</f>
        <v>14</v>
      </c>
      <c r="F37" s="9">
        <f>E37+2</f>
        <v>16</v>
      </c>
      <c r="G37" s="9">
        <f>F37+1</f>
        <v>17</v>
      </c>
    </row>
    <row r="38" spans="2:7" x14ac:dyDescent="0.25">
      <c r="B38" s="18" t="s">
        <v>214</v>
      </c>
      <c r="C38" s="9">
        <v>12</v>
      </c>
      <c r="D38" s="9">
        <f>C38+2</f>
        <v>14</v>
      </c>
      <c r="E38" s="9">
        <f>D38+2</f>
        <v>16</v>
      </c>
      <c r="F38" s="9">
        <f>E38</f>
        <v>16</v>
      </c>
      <c r="G38" s="9">
        <f>F38+1</f>
        <v>17</v>
      </c>
    </row>
    <row r="39" spans="2:7" x14ac:dyDescent="0.25">
      <c r="B39" s="18" t="s">
        <v>132</v>
      </c>
      <c r="C39" s="9">
        <v>10</v>
      </c>
      <c r="D39" s="9">
        <f>C39+2</f>
        <v>12</v>
      </c>
      <c r="E39" s="9">
        <f>D39+1</f>
        <v>13</v>
      </c>
      <c r="F39" s="9">
        <f>E39+1</f>
        <v>14</v>
      </c>
      <c r="G39" s="9">
        <f>F39</f>
        <v>14</v>
      </c>
    </row>
    <row r="40" spans="2:7" x14ac:dyDescent="0.25">
      <c r="B40" s="30"/>
      <c r="C40" s="23"/>
      <c r="D40" s="23"/>
      <c r="E40" s="23"/>
      <c r="F40" s="23"/>
      <c r="G40" s="23"/>
    </row>
    <row r="41" spans="2:7" x14ac:dyDescent="0.25">
      <c r="B41" s="30"/>
      <c r="C41" s="23"/>
      <c r="D41" s="23"/>
      <c r="E41" s="23"/>
      <c r="F41" s="23"/>
      <c r="G41" s="23"/>
    </row>
    <row r="42" spans="2:7" x14ac:dyDescent="0.25">
      <c r="B42" s="31" t="s">
        <v>170</v>
      </c>
      <c r="C42" s="32" t="s">
        <v>21</v>
      </c>
      <c r="D42" s="32" t="s">
        <v>22</v>
      </c>
      <c r="E42" s="32" t="s">
        <v>23</v>
      </c>
      <c r="F42" s="32" t="s">
        <v>26</v>
      </c>
      <c r="G42" s="32" t="s">
        <v>25</v>
      </c>
    </row>
    <row r="43" spans="2:7" x14ac:dyDescent="0.25">
      <c r="B43" s="63" t="s">
        <v>133</v>
      </c>
      <c r="C43" s="9"/>
      <c r="D43" s="9"/>
      <c r="E43" s="9"/>
      <c r="F43" s="9"/>
      <c r="G43" s="9"/>
    </row>
    <row r="44" spans="2:7" x14ac:dyDescent="0.25">
      <c r="B44" s="20" t="s">
        <v>4</v>
      </c>
      <c r="C44" s="65">
        <v>15000</v>
      </c>
      <c r="D44" s="66">
        <f>C47</f>
        <v>15000</v>
      </c>
      <c r="E44" s="66">
        <f t="shared" ref="E44:G44" si="13">D47</f>
        <v>17000</v>
      </c>
      <c r="F44" s="66">
        <f t="shared" si="13"/>
        <v>20000</v>
      </c>
      <c r="G44" s="66">
        <f t="shared" si="13"/>
        <v>23000</v>
      </c>
    </row>
    <row r="45" spans="2:7" x14ac:dyDescent="0.25">
      <c r="B45" s="20" t="s">
        <v>168</v>
      </c>
      <c r="C45" s="9"/>
      <c r="D45" s="11">
        <v>0.1</v>
      </c>
      <c r="E45" s="11">
        <v>0.12</v>
      </c>
      <c r="F45" s="11">
        <v>0.13</v>
      </c>
      <c r="G45" s="11">
        <v>0.15</v>
      </c>
    </row>
    <row r="46" spans="2:7" x14ac:dyDescent="0.25">
      <c r="B46" s="20" t="s">
        <v>169</v>
      </c>
      <c r="D46" s="67">
        <f>D44*(100%+D45)</f>
        <v>16500</v>
      </c>
      <c r="E46" s="67">
        <f>E44*(100%+E45)</f>
        <v>19040</v>
      </c>
      <c r="F46" s="67">
        <f>F44*(100%+F45)</f>
        <v>22599.999999999996</v>
      </c>
      <c r="G46" s="67">
        <f>G44*(100%+G45)</f>
        <v>26449.999999999996</v>
      </c>
    </row>
    <row r="47" spans="2:7" x14ac:dyDescent="0.25">
      <c r="B47" s="20" t="s">
        <v>27</v>
      </c>
      <c r="C47" s="68">
        <f>C44</f>
        <v>15000</v>
      </c>
      <c r="D47" s="68">
        <v>17000</v>
      </c>
      <c r="E47" s="68">
        <v>20000</v>
      </c>
      <c r="F47" s="68">
        <v>23000</v>
      </c>
      <c r="G47" s="68">
        <v>27000</v>
      </c>
    </row>
    <row r="48" spans="2:7" x14ac:dyDescent="0.25">
      <c r="B48" s="63" t="s">
        <v>134</v>
      </c>
      <c r="C48" s="9"/>
      <c r="D48" s="9"/>
      <c r="E48" s="9"/>
      <c r="F48" s="9"/>
      <c r="G48" s="9"/>
    </row>
    <row r="49" spans="2:7" x14ac:dyDescent="0.25">
      <c r="B49" s="20" t="s">
        <v>4</v>
      </c>
      <c r="C49" s="65">
        <v>35000</v>
      </c>
      <c r="D49" s="66">
        <f>C52</f>
        <v>35000</v>
      </c>
      <c r="E49" s="66">
        <f t="shared" ref="E49:G49" si="14">D52</f>
        <v>39000</v>
      </c>
      <c r="F49" s="66">
        <f t="shared" si="14"/>
        <v>44000</v>
      </c>
      <c r="G49" s="66">
        <f t="shared" si="14"/>
        <v>50000</v>
      </c>
    </row>
    <row r="50" spans="2:7" x14ac:dyDescent="0.25">
      <c r="B50" s="20" t="s">
        <v>168</v>
      </c>
      <c r="C50" s="9"/>
      <c r="D50" s="11">
        <v>0.1</v>
      </c>
      <c r="E50" s="11">
        <v>0.12</v>
      </c>
      <c r="F50" s="11">
        <v>0.13</v>
      </c>
      <c r="G50" s="11">
        <v>0.15</v>
      </c>
    </row>
    <row r="51" spans="2:7" x14ac:dyDescent="0.25">
      <c r="B51" s="20" t="s">
        <v>169</v>
      </c>
      <c r="D51" s="67">
        <f>D49*(100%+D50)</f>
        <v>38500</v>
      </c>
      <c r="E51" s="67">
        <f>E49*(100%+E50)</f>
        <v>43680.000000000007</v>
      </c>
      <c r="F51" s="67">
        <f>F49*(100%+F50)</f>
        <v>49719.999999999993</v>
      </c>
      <c r="G51" s="67">
        <f>G49*(100%+G50)</f>
        <v>57499.999999999993</v>
      </c>
    </row>
    <row r="52" spans="2:7" x14ac:dyDescent="0.25">
      <c r="B52" s="20" t="s">
        <v>27</v>
      </c>
      <c r="C52" s="68">
        <f>C49</f>
        <v>35000</v>
      </c>
      <c r="D52" s="68">
        <v>39000</v>
      </c>
      <c r="E52" s="68">
        <v>44000</v>
      </c>
      <c r="F52" s="68">
        <v>50000</v>
      </c>
      <c r="G52" s="68">
        <v>58000</v>
      </c>
    </row>
    <row r="53" spans="2:7" x14ac:dyDescent="0.25">
      <c r="B53" s="63" t="s">
        <v>135</v>
      </c>
      <c r="C53" s="9"/>
      <c r="D53" s="9"/>
      <c r="E53" s="9"/>
      <c r="F53" s="9"/>
      <c r="G53" s="9"/>
    </row>
    <row r="54" spans="2:7" x14ac:dyDescent="0.25">
      <c r="B54" s="20" t="s">
        <v>4</v>
      </c>
      <c r="C54" s="65">
        <v>45000</v>
      </c>
      <c r="D54" s="66">
        <f>C57</f>
        <v>45000</v>
      </c>
      <c r="E54" s="66">
        <f t="shared" ref="E54:G54" si="15">D57</f>
        <v>50000</v>
      </c>
      <c r="F54" s="66">
        <f t="shared" si="15"/>
        <v>56000.000000000007</v>
      </c>
      <c r="G54" s="66">
        <f t="shared" si="15"/>
        <v>64000</v>
      </c>
    </row>
    <row r="55" spans="2:7" x14ac:dyDescent="0.25">
      <c r="B55" s="20" t="s">
        <v>168</v>
      </c>
      <c r="C55" s="9"/>
      <c r="D55" s="11">
        <v>0.1</v>
      </c>
      <c r="E55" s="11">
        <v>0.12</v>
      </c>
      <c r="F55" s="11">
        <v>0.13</v>
      </c>
      <c r="G55" s="11">
        <v>0.15</v>
      </c>
    </row>
    <row r="56" spans="2:7" x14ac:dyDescent="0.25">
      <c r="B56" s="20" t="s">
        <v>169</v>
      </c>
      <c r="D56" s="67">
        <f>D54*(100%+D55)</f>
        <v>49500.000000000007</v>
      </c>
      <c r="E56" s="67">
        <f>E54*(100%+E55)</f>
        <v>56000.000000000007</v>
      </c>
      <c r="F56" s="67">
        <f>F54*(100%+F55)</f>
        <v>63280</v>
      </c>
      <c r="G56" s="67">
        <f>G54*(100%+G55)</f>
        <v>73600</v>
      </c>
    </row>
    <row r="57" spans="2:7" x14ac:dyDescent="0.25">
      <c r="B57" s="20" t="s">
        <v>27</v>
      </c>
      <c r="C57" s="68">
        <f>C54</f>
        <v>45000</v>
      </c>
      <c r="D57" s="68">
        <v>50000</v>
      </c>
      <c r="E57" s="68">
        <f>E56</f>
        <v>56000.000000000007</v>
      </c>
      <c r="F57" s="68">
        <v>64000</v>
      </c>
      <c r="G57" s="68">
        <v>74000</v>
      </c>
    </row>
    <row r="58" spans="2:7" x14ac:dyDescent="0.25">
      <c r="B58" s="63" t="s">
        <v>136</v>
      </c>
      <c r="C58" s="9"/>
      <c r="D58" s="9"/>
      <c r="E58" s="9"/>
      <c r="F58" s="9"/>
      <c r="G58" s="9"/>
    </row>
    <row r="59" spans="2:7" x14ac:dyDescent="0.25">
      <c r="B59" s="20" t="s">
        <v>4</v>
      </c>
      <c r="C59" s="65">
        <v>50000</v>
      </c>
      <c r="D59" s="66">
        <f>C62</f>
        <v>50000</v>
      </c>
      <c r="E59" s="66">
        <f t="shared" ref="E59:G59" si="16">D62</f>
        <v>55000.000000000007</v>
      </c>
      <c r="F59" s="66">
        <f t="shared" si="16"/>
        <v>62000</v>
      </c>
      <c r="G59" s="66">
        <f t="shared" si="16"/>
        <v>71000</v>
      </c>
    </row>
    <row r="60" spans="2:7" x14ac:dyDescent="0.25">
      <c r="B60" s="20" t="s">
        <v>168</v>
      </c>
      <c r="C60" s="9"/>
      <c r="D60" s="11">
        <v>0.1</v>
      </c>
      <c r="E60" s="11">
        <v>0.12</v>
      </c>
      <c r="F60" s="11">
        <v>0.13</v>
      </c>
      <c r="G60" s="11">
        <v>0.15</v>
      </c>
    </row>
    <row r="61" spans="2:7" x14ac:dyDescent="0.25">
      <c r="B61" s="20" t="s">
        <v>169</v>
      </c>
      <c r="D61" s="67">
        <f>D59*(100%+D60)</f>
        <v>55000.000000000007</v>
      </c>
      <c r="E61" s="67">
        <f>E59*(100%+E60)</f>
        <v>61600.000000000015</v>
      </c>
      <c r="F61" s="67">
        <f>F59*(100%+F60)</f>
        <v>70060</v>
      </c>
      <c r="G61" s="67">
        <f>G59*(100%+G60)</f>
        <v>81650</v>
      </c>
    </row>
    <row r="62" spans="2:7" x14ac:dyDescent="0.25">
      <c r="B62" s="20" t="s">
        <v>27</v>
      </c>
      <c r="C62" s="68">
        <f>C59</f>
        <v>50000</v>
      </c>
      <c r="D62" s="68">
        <f>D61</f>
        <v>55000.000000000007</v>
      </c>
      <c r="E62" s="68">
        <v>62000</v>
      </c>
      <c r="F62" s="68">
        <v>71000</v>
      </c>
      <c r="G62" s="68">
        <v>82000</v>
      </c>
    </row>
    <row r="63" spans="2:7" x14ac:dyDescent="0.25">
      <c r="B63" s="63" t="s">
        <v>137</v>
      </c>
      <c r="C63" s="9"/>
      <c r="D63" s="9"/>
      <c r="E63" s="9"/>
      <c r="F63" s="9"/>
      <c r="G63" s="9"/>
    </row>
    <row r="64" spans="2:7" x14ac:dyDescent="0.25">
      <c r="B64" s="20" t="s">
        <v>4</v>
      </c>
      <c r="C64" s="65">
        <v>35000</v>
      </c>
      <c r="D64" s="66">
        <f>C67</f>
        <v>35000</v>
      </c>
      <c r="E64" s="66">
        <f t="shared" ref="E64" si="17">D67</f>
        <v>39000</v>
      </c>
      <c r="F64" s="66">
        <f t="shared" ref="F64" si="18">E67</f>
        <v>44000</v>
      </c>
      <c r="G64" s="66">
        <f t="shared" ref="G64" si="19">F67</f>
        <v>50000</v>
      </c>
    </row>
    <row r="65" spans="2:7" x14ac:dyDescent="0.25">
      <c r="B65" s="20" t="s">
        <v>168</v>
      </c>
      <c r="C65" s="9"/>
      <c r="D65" s="11">
        <v>0.1</v>
      </c>
      <c r="E65" s="11">
        <v>0.12</v>
      </c>
      <c r="F65" s="11">
        <v>0.13</v>
      </c>
      <c r="G65" s="11">
        <v>0.15</v>
      </c>
    </row>
    <row r="66" spans="2:7" x14ac:dyDescent="0.25">
      <c r="B66" s="20" t="s">
        <v>169</v>
      </c>
      <c r="D66" s="67">
        <f>D64*(100%+D65)</f>
        <v>38500</v>
      </c>
      <c r="E66" s="67">
        <f>E64*(100%+E65)</f>
        <v>43680.000000000007</v>
      </c>
      <c r="F66" s="67">
        <f>F64*(100%+F65)</f>
        <v>49719.999999999993</v>
      </c>
      <c r="G66" s="67">
        <f>G64*(100%+G65)</f>
        <v>57499.999999999993</v>
      </c>
    </row>
    <row r="67" spans="2:7" x14ac:dyDescent="0.25">
      <c r="B67" s="20" t="s">
        <v>27</v>
      </c>
      <c r="C67" s="68">
        <f>C64</f>
        <v>35000</v>
      </c>
      <c r="D67" s="68">
        <v>39000</v>
      </c>
      <c r="E67" s="68">
        <v>44000</v>
      </c>
      <c r="F67" s="68">
        <v>50000</v>
      </c>
      <c r="G67" s="68">
        <v>58000</v>
      </c>
    </row>
    <row r="68" spans="2:7" x14ac:dyDescent="0.25">
      <c r="B68" s="63" t="s">
        <v>138</v>
      </c>
      <c r="C68" s="9"/>
      <c r="D68" s="9"/>
      <c r="E68" s="9"/>
      <c r="F68" s="9"/>
      <c r="G68" s="9"/>
    </row>
    <row r="69" spans="2:7" x14ac:dyDescent="0.25">
      <c r="B69" s="20" t="s">
        <v>4</v>
      </c>
      <c r="C69" s="65">
        <v>40000</v>
      </c>
      <c r="D69" s="66">
        <f>C72</f>
        <v>40000</v>
      </c>
      <c r="E69" s="66">
        <f t="shared" ref="E69" si="20">D72</f>
        <v>44000</v>
      </c>
      <c r="F69" s="66">
        <f t="shared" ref="F69" si="21">E72</f>
        <v>50000</v>
      </c>
      <c r="G69" s="66">
        <f t="shared" ref="G69" si="22">F72</f>
        <v>57000</v>
      </c>
    </row>
    <row r="70" spans="2:7" x14ac:dyDescent="0.25">
      <c r="B70" s="20" t="s">
        <v>168</v>
      </c>
      <c r="C70" s="9"/>
      <c r="D70" s="11">
        <v>0.1</v>
      </c>
      <c r="E70" s="11">
        <v>0.12</v>
      </c>
      <c r="F70" s="11">
        <v>0.13</v>
      </c>
      <c r="G70" s="11">
        <v>0.15</v>
      </c>
    </row>
    <row r="71" spans="2:7" x14ac:dyDescent="0.25">
      <c r="B71" s="20" t="s">
        <v>169</v>
      </c>
      <c r="D71" s="67">
        <f>D69*(100%+D70)</f>
        <v>44000</v>
      </c>
      <c r="E71" s="67">
        <f>E69*(100%+E70)</f>
        <v>49280.000000000007</v>
      </c>
      <c r="F71" s="67">
        <f>F69*(100%+F70)</f>
        <v>56499.999999999993</v>
      </c>
      <c r="G71" s="67">
        <f>G69*(100%+G70)</f>
        <v>65550</v>
      </c>
    </row>
    <row r="72" spans="2:7" x14ac:dyDescent="0.25">
      <c r="B72" s="20" t="s">
        <v>27</v>
      </c>
      <c r="C72" s="68">
        <f>C69</f>
        <v>40000</v>
      </c>
      <c r="D72" s="68">
        <f>D71</f>
        <v>44000</v>
      </c>
      <c r="E72" s="68">
        <v>50000</v>
      </c>
      <c r="F72" s="68">
        <v>57000</v>
      </c>
      <c r="G72" s="68">
        <v>66000</v>
      </c>
    </row>
    <row r="73" spans="2:7" x14ac:dyDescent="0.25">
      <c r="B73" s="63" t="s">
        <v>139</v>
      </c>
      <c r="C73" s="9" t="s">
        <v>167</v>
      </c>
      <c r="D73" s="9"/>
      <c r="E73" s="9"/>
      <c r="F73" s="9"/>
      <c r="G73" s="9"/>
    </row>
    <row r="74" spans="2:7" x14ac:dyDescent="0.25">
      <c r="B74" s="20" t="s">
        <v>4</v>
      </c>
      <c r="C74" s="65">
        <v>45000</v>
      </c>
      <c r="D74" s="66">
        <f>C77</f>
        <v>45000</v>
      </c>
      <c r="E74" s="66">
        <f t="shared" ref="E74" si="23">D77</f>
        <v>50000</v>
      </c>
      <c r="F74" s="66">
        <f t="shared" ref="F74" si="24">E77</f>
        <v>56000.000000000007</v>
      </c>
      <c r="G74" s="66">
        <f t="shared" ref="G74" si="25">F77</f>
        <v>64000</v>
      </c>
    </row>
    <row r="75" spans="2:7" x14ac:dyDescent="0.25">
      <c r="B75" s="20" t="s">
        <v>168</v>
      </c>
      <c r="C75" s="9"/>
      <c r="D75" s="11">
        <v>0.1</v>
      </c>
      <c r="E75" s="11">
        <v>0.12</v>
      </c>
      <c r="F75" s="11">
        <v>0.13</v>
      </c>
      <c r="G75" s="11">
        <v>0.15</v>
      </c>
    </row>
    <row r="76" spans="2:7" x14ac:dyDescent="0.25">
      <c r="B76" s="20" t="s">
        <v>169</v>
      </c>
      <c r="D76" s="67">
        <f>D74*(100%+D75)</f>
        <v>49500.000000000007</v>
      </c>
      <c r="E76" s="67">
        <f>E74*(100%+E75)</f>
        <v>56000.000000000007</v>
      </c>
      <c r="F76" s="67">
        <f>F74*(100%+F75)</f>
        <v>63280</v>
      </c>
      <c r="G76" s="67">
        <f>G74*(100%+G75)</f>
        <v>73600</v>
      </c>
    </row>
    <row r="77" spans="2:7" x14ac:dyDescent="0.25">
      <c r="B77" s="20" t="s">
        <v>27</v>
      </c>
      <c r="C77" s="68">
        <f>C74</f>
        <v>45000</v>
      </c>
      <c r="D77" s="68">
        <v>50000</v>
      </c>
      <c r="E77" s="68">
        <f>E76</f>
        <v>56000.000000000007</v>
      </c>
      <c r="F77" s="68">
        <v>64000</v>
      </c>
      <c r="G77" s="68">
        <v>74000</v>
      </c>
    </row>
    <row r="78" spans="2:7" x14ac:dyDescent="0.25">
      <c r="B78" s="63" t="s">
        <v>140</v>
      </c>
      <c r="C78" s="9"/>
      <c r="D78" s="9"/>
      <c r="E78" s="9"/>
      <c r="F78" s="9"/>
      <c r="G78" s="9"/>
    </row>
    <row r="79" spans="2:7" x14ac:dyDescent="0.25">
      <c r="B79" s="20" t="s">
        <v>4</v>
      </c>
      <c r="C79" s="65">
        <v>50000</v>
      </c>
      <c r="D79" s="66">
        <f>C82</f>
        <v>50000</v>
      </c>
      <c r="E79" s="66">
        <f t="shared" ref="E79" si="26">D82</f>
        <v>55000.000000000007</v>
      </c>
      <c r="F79" s="66">
        <f t="shared" ref="F79" si="27">E82</f>
        <v>62000</v>
      </c>
      <c r="G79" s="66">
        <f t="shared" ref="G79" si="28">F82</f>
        <v>71000</v>
      </c>
    </row>
    <row r="80" spans="2:7" x14ac:dyDescent="0.25">
      <c r="B80" s="20" t="s">
        <v>168</v>
      </c>
      <c r="C80" s="9"/>
      <c r="D80" s="11">
        <v>0.1</v>
      </c>
      <c r="E80" s="11">
        <v>0.12</v>
      </c>
      <c r="F80" s="11">
        <v>0.13</v>
      </c>
      <c r="G80" s="11">
        <v>0.15</v>
      </c>
    </row>
    <row r="81" spans="2:7" x14ac:dyDescent="0.25">
      <c r="B81" s="20" t="s">
        <v>169</v>
      </c>
      <c r="D81" s="67">
        <f>D79*(100%+D80)</f>
        <v>55000.000000000007</v>
      </c>
      <c r="E81" s="67">
        <f>E79*(100%+E80)</f>
        <v>61600.000000000015</v>
      </c>
      <c r="F81" s="67">
        <f>F79*(100%+F80)</f>
        <v>70060</v>
      </c>
      <c r="G81" s="67">
        <f>G79*(100%+G80)</f>
        <v>81650</v>
      </c>
    </row>
    <row r="82" spans="2:7" x14ac:dyDescent="0.25">
      <c r="B82" s="20" t="s">
        <v>27</v>
      </c>
      <c r="C82" s="68">
        <f>C79</f>
        <v>50000</v>
      </c>
      <c r="D82" s="68">
        <f>D81</f>
        <v>55000.000000000007</v>
      </c>
      <c r="E82" s="68">
        <v>62000</v>
      </c>
      <c r="F82" s="68">
        <v>71000</v>
      </c>
      <c r="G82" s="68">
        <v>82000</v>
      </c>
    </row>
    <row r="83" spans="2:7" x14ac:dyDescent="0.25">
      <c r="B83" s="69"/>
      <c r="C83" s="23"/>
      <c r="D83" s="23"/>
      <c r="E83" s="23"/>
      <c r="F83" s="23"/>
      <c r="G83" s="23"/>
    </row>
    <row r="84" spans="2:7" x14ac:dyDescent="0.25">
      <c r="B84" s="64"/>
      <c r="C84" s="23"/>
      <c r="D84" s="23"/>
      <c r="E84" s="23"/>
      <c r="F84" s="23"/>
      <c r="G84" s="23"/>
    </row>
    <row r="85" spans="2:7" x14ac:dyDescent="0.25">
      <c r="B85" s="33" t="s">
        <v>171</v>
      </c>
      <c r="C85" s="34" t="s">
        <v>21</v>
      </c>
      <c r="D85" s="34" t="s">
        <v>22</v>
      </c>
      <c r="E85" s="34" t="s">
        <v>23</v>
      </c>
      <c r="F85" s="34" t="s">
        <v>26</v>
      </c>
      <c r="G85" s="34" t="s">
        <v>25</v>
      </c>
    </row>
    <row r="86" spans="2:7" x14ac:dyDescent="0.25">
      <c r="B86" s="63" t="s">
        <v>129</v>
      </c>
      <c r="C86" s="82"/>
      <c r="D86" s="82"/>
      <c r="E86" s="82"/>
      <c r="F86" s="82"/>
      <c r="G86" s="82"/>
    </row>
    <row r="87" spans="2:7" x14ac:dyDescent="0.25">
      <c r="B87" s="20" t="s">
        <v>4</v>
      </c>
      <c r="C87" s="65">
        <v>10000</v>
      </c>
      <c r="D87" s="66">
        <f>C90</f>
        <v>10000</v>
      </c>
      <c r="E87" s="66">
        <f t="shared" ref="E87" si="29">D90</f>
        <v>11000</v>
      </c>
      <c r="F87" s="66">
        <f t="shared" ref="F87" si="30">E90</f>
        <v>13000</v>
      </c>
      <c r="G87" s="66">
        <f t="shared" ref="G87" si="31">F90</f>
        <v>15000</v>
      </c>
    </row>
    <row r="88" spans="2:7" x14ac:dyDescent="0.25">
      <c r="B88" s="20" t="s">
        <v>168</v>
      </c>
      <c r="C88" s="9"/>
      <c r="D88" s="11">
        <v>0.1</v>
      </c>
      <c r="E88" s="11">
        <v>0.12</v>
      </c>
      <c r="F88" s="11">
        <v>0.13</v>
      </c>
      <c r="G88" s="11">
        <v>0.15</v>
      </c>
    </row>
    <row r="89" spans="2:7" x14ac:dyDescent="0.25">
      <c r="B89" s="20" t="s">
        <v>169</v>
      </c>
      <c r="D89" s="67">
        <f>D87*(100%+D88)</f>
        <v>11000</v>
      </c>
      <c r="E89" s="67">
        <f>E87*(100%+E88)</f>
        <v>12320.000000000002</v>
      </c>
      <c r="F89" s="67">
        <f>F87*(100%+F88)</f>
        <v>14689.999999999998</v>
      </c>
      <c r="G89" s="67">
        <f>G87*(100%+G88)</f>
        <v>17250</v>
      </c>
    </row>
    <row r="90" spans="2:7" x14ac:dyDescent="0.25">
      <c r="B90" s="20" t="s">
        <v>27</v>
      </c>
      <c r="C90" s="83">
        <f>C87</f>
        <v>10000</v>
      </c>
      <c r="D90" s="83">
        <f>D89</f>
        <v>11000</v>
      </c>
      <c r="E90" s="83">
        <v>13000</v>
      </c>
      <c r="F90" s="83">
        <v>15000</v>
      </c>
      <c r="G90" s="83">
        <v>18000</v>
      </c>
    </row>
    <row r="91" spans="2:7" x14ac:dyDescent="0.25">
      <c r="B91" s="63" t="s">
        <v>130</v>
      </c>
      <c r="C91" s="82"/>
      <c r="D91" s="82"/>
      <c r="E91" s="82"/>
      <c r="F91" s="82"/>
      <c r="G91" s="82"/>
    </row>
    <row r="92" spans="2:7" x14ac:dyDescent="0.25">
      <c r="B92" s="20" t="s">
        <v>4</v>
      </c>
      <c r="C92" s="65">
        <v>7000</v>
      </c>
      <c r="D92" s="66">
        <f>C95</f>
        <v>7000</v>
      </c>
      <c r="E92" s="66">
        <f t="shared" ref="E92" si="32">D95</f>
        <v>8000</v>
      </c>
      <c r="F92" s="66">
        <f t="shared" ref="F92" si="33">E95</f>
        <v>9000</v>
      </c>
      <c r="G92" s="66">
        <f t="shared" ref="G92" si="34">F95</f>
        <v>11000</v>
      </c>
    </row>
    <row r="93" spans="2:7" x14ac:dyDescent="0.25">
      <c r="B93" s="20" t="s">
        <v>168</v>
      </c>
      <c r="C93" s="9"/>
      <c r="D93" s="11">
        <v>0.1</v>
      </c>
      <c r="E93" s="11">
        <v>0.12</v>
      </c>
      <c r="F93" s="11">
        <v>0.13</v>
      </c>
      <c r="G93" s="11">
        <v>0.15</v>
      </c>
    </row>
    <row r="94" spans="2:7" x14ac:dyDescent="0.25">
      <c r="B94" s="20" t="s">
        <v>169</v>
      </c>
      <c r="D94" s="67">
        <f>D92*(100%+D93)</f>
        <v>7700.0000000000009</v>
      </c>
      <c r="E94" s="67">
        <f>E92*(100%+E93)</f>
        <v>8960</v>
      </c>
      <c r="F94" s="67">
        <f>F92*(100%+F93)</f>
        <v>10169.999999999998</v>
      </c>
      <c r="G94" s="67">
        <f>G92*(100%+G93)</f>
        <v>12649.999999999998</v>
      </c>
    </row>
    <row r="95" spans="2:7" x14ac:dyDescent="0.25">
      <c r="B95" s="20" t="s">
        <v>27</v>
      </c>
      <c r="C95" s="83">
        <f>C92</f>
        <v>7000</v>
      </c>
      <c r="D95" s="83">
        <v>8000</v>
      </c>
      <c r="E95" s="83">
        <v>9000</v>
      </c>
      <c r="F95" s="83">
        <v>11000</v>
      </c>
      <c r="G95" s="83">
        <v>13000</v>
      </c>
    </row>
    <row r="96" spans="2:7" x14ac:dyDescent="0.25">
      <c r="B96" s="63" t="s">
        <v>131</v>
      </c>
      <c r="C96" s="82"/>
      <c r="D96" s="82"/>
      <c r="E96" s="82"/>
      <c r="F96" s="82"/>
      <c r="G96" s="82"/>
    </row>
    <row r="97" spans="2:8" x14ac:dyDescent="0.25">
      <c r="B97" s="20" t="s">
        <v>4</v>
      </c>
      <c r="C97" s="65">
        <v>5000</v>
      </c>
      <c r="D97" s="66">
        <f>C100</f>
        <v>5000</v>
      </c>
      <c r="E97" s="66">
        <f t="shared" ref="E97" si="35">D100</f>
        <v>6000</v>
      </c>
      <c r="F97" s="66">
        <f t="shared" ref="F97" si="36">E100</f>
        <v>7000</v>
      </c>
      <c r="G97" s="66">
        <f t="shared" ref="G97" si="37">F100</f>
        <v>8000</v>
      </c>
    </row>
    <row r="98" spans="2:8" x14ac:dyDescent="0.25">
      <c r="B98" s="20" t="s">
        <v>168</v>
      </c>
      <c r="C98" s="9"/>
      <c r="D98" s="11">
        <v>0.1</v>
      </c>
      <c r="E98" s="11">
        <v>0.12</v>
      </c>
      <c r="F98" s="11">
        <v>0.13</v>
      </c>
      <c r="G98" s="11">
        <v>0.15</v>
      </c>
    </row>
    <row r="99" spans="2:8" x14ac:dyDescent="0.25">
      <c r="B99" s="20" t="s">
        <v>169</v>
      </c>
      <c r="D99" s="67">
        <f>D97*(100%+D98)</f>
        <v>5500</v>
      </c>
      <c r="E99" s="67">
        <f>E97*(100%+E98)</f>
        <v>6720.0000000000009</v>
      </c>
      <c r="F99" s="67">
        <f>F97*(100%+F98)</f>
        <v>7909.9999999999991</v>
      </c>
      <c r="G99" s="67">
        <f>G97*(100%+G98)</f>
        <v>9200</v>
      </c>
    </row>
    <row r="100" spans="2:8" x14ac:dyDescent="0.25">
      <c r="B100" s="20" t="s">
        <v>27</v>
      </c>
      <c r="C100" s="83">
        <f>C97</f>
        <v>5000</v>
      </c>
      <c r="D100" s="83">
        <v>6000</v>
      </c>
      <c r="E100" s="83">
        <v>7000</v>
      </c>
      <c r="F100" s="83">
        <v>8000</v>
      </c>
      <c r="G100" s="83">
        <v>10000</v>
      </c>
    </row>
    <row r="101" spans="2:8" x14ac:dyDescent="0.25">
      <c r="B101" s="63" t="s">
        <v>132</v>
      </c>
      <c r="C101" s="82"/>
      <c r="D101" s="82"/>
      <c r="E101" s="82"/>
      <c r="F101" s="82"/>
      <c r="G101" s="82"/>
    </row>
    <row r="102" spans="2:8" x14ac:dyDescent="0.25">
      <c r="B102" s="20" t="s">
        <v>4</v>
      </c>
      <c r="C102" s="65">
        <v>5000</v>
      </c>
      <c r="D102" s="66">
        <f>C105</f>
        <v>5000</v>
      </c>
      <c r="E102" s="66">
        <f t="shared" ref="E102" si="38">D105</f>
        <v>6000</v>
      </c>
      <c r="F102" s="66">
        <f t="shared" ref="F102" si="39">E105</f>
        <v>7000</v>
      </c>
      <c r="G102" s="66">
        <f t="shared" ref="G102" si="40">F105</f>
        <v>8000</v>
      </c>
    </row>
    <row r="103" spans="2:8" x14ac:dyDescent="0.25">
      <c r="B103" s="20" t="s">
        <v>168</v>
      </c>
      <c r="C103" s="9"/>
      <c r="D103" s="11">
        <v>0.1</v>
      </c>
      <c r="E103" s="11">
        <v>0.12</v>
      </c>
      <c r="F103" s="11">
        <v>0.13</v>
      </c>
      <c r="G103" s="11">
        <v>0.15</v>
      </c>
    </row>
    <row r="104" spans="2:8" x14ac:dyDescent="0.25">
      <c r="B104" s="20" t="s">
        <v>169</v>
      </c>
      <c r="D104" s="67">
        <f>D102*(100%+D103)</f>
        <v>5500</v>
      </c>
      <c r="E104" s="67">
        <f>E102*(100%+E103)</f>
        <v>6720.0000000000009</v>
      </c>
      <c r="F104" s="67">
        <f>F102*(100%+F103)</f>
        <v>7909.9999999999991</v>
      </c>
      <c r="G104" s="67">
        <f>G102*(100%+G103)</f>
        <v>9200</v>
      </c>
    </row>
    <row r="105" spans="2:8" x14ac:dyDescent="0.25">
      <c r="B105" s="20" t="s">
        <v>27</v>
      </c>
      <c r="C105" s="83">
        <f>C102</f>
        <v>5000</v>
      </c>
      <c r="D105" s="83">
        <v>6000</v>
      </c>
      <c r="E105" s="83">
        <v>7000</v>
      </c>
      <c r="F105" s="83">
        <v>8000</v>
      </c>
      <c r="G105" s="83">
        <v>10000</v>
      </c>
    </row>
    <row r="106" spans="2:8" x14ac:dyDescent="0.25">
      <c r="B106" s="30"/>
      <c r="C106" s="23"/>
      <c r="D106" s="23"/>
      <c r="E106" s="23"/>
      <c r="F106" s="23"/>
      <c r="G106" s="23"/>
    </row>
    <row r="107" spans="2:8" x14ac:dyDescent="0.25">
      <c r="B107" s="30"/>
      <c r="C107" s="23"/>
      <c r="D107" s="23"/>
      <c r="E107" s="23"/>
      <c r="F107" s="23"/>
      <c r="G107" s="23"/>
    </row>
    <row r="108" spans="2:8" x14ac:dyDescent="0.25">
      <c r="B108" s="35" t="s">
        <v>28</v>
      </c>
      <c r="C108" s="36" t="s">
        <v>21</v>
      </c>
      <c r="D108" s="36" t="s">
        <v>22</v>
      </c>
      <c r="E108" s="36" t="s">
        <v>23</v>
      </c>
      <c r="F108" s="36" t="s">
        <v>26</v>
      </c>
      <c r="G108" s="36" t="s">
        <v>25</v>
      </c>
    </row>
    <row r="109" spans="2:8" x14ac:dyDescent="0.25">
      <c r="B109" s="85" t="s">
        <v>127</v>
      </c>
      <c r="C109" s="86"/>
      <c r="D109" s="86"/>
      <c r="E109" s="86"/>
      <c r="F109" s="86"/>
      <c r="G109" s="87"/>
    </row>
    <row r="110" spans="2:8" x14ac:dyDescent="0.25">
      <c r="B110" s="88" t="s">
        <v>141</v>
      </c>
      <c r="C110" s="89"/>
      <c r="D110" s="89"/>
      <c r="E110" s="89"/>
      <c r="F110" s="89"/>
      <c r="G110" s="90"/>
    </row>
    <row r="111" spans="2:8" x14ac:dyDescent="0.25">
      <c r="B111" s="21" t="s">
        <v>133</v>
      </c>
      <c r="C111" s="65">
        <f>C47*C26</f>
        <v>150000</v>
      </c>
      <c r="D111" s="65">
        <f t="shared" ref="D111:G111" si="41">D47*D26</f>
        <v>221000</v>
      </c>
      <c r="E111" s="65">
        <f t="shared" si="41"/>
        <v>280000</v>
      </c>
      <c r="F111" s="65">
        <f t="shared" si="41"/>
        <v>368000</v>
      </c>
      <c r="G111" s="65">
        <f t="shared" si="41"/>
        <v>432000</v>
      </c>
      <c r="H111" s="164"/>
    </row>
    <row r="112" spans="2:8" x14ac:dyDescent="0.25">
      <c r="B112" s="21" t="s">
        <v>134</v>
      </c>
      <c r="C112" s="65">
        <f>C52*C27</f>
        <v>280000</v>
      </c>
      <c r="D112" s="65">
        <f>D52*D27</f>
        <v>390000</v>
      </c>
      <c r="E112" s="65">
        <f>E52*E27</f>
        <v>528000</v>
      </c>
      <c r="F112" s="65">
        <f>F52*F27</f>
        <v>700000</v>
      </c>
      <c r="G112" s="65">
        <f>G52*G27</f>
        <v>928000</v>
      </c>
    </row>
    <row r="113" spans="2:8" x14ac:dyDescent="0.25">
      <c r="B113" s="21" t="s">
        <v>135</v>
      </c>
      <c r="C113" s="65">
        <f>C57*C28</f>
        <v>270000</v>
      </c>
      <c r="D113" s="65">
        <f>D57*D28</f>
        <v>400000</v>
      </c>
      <c r="E113" s="65">
        <f t="shared" ref="E113:G113" si="42">E57*E28</f>
        <v>560000.00000000012</v>
      </c>
      <c r="F113" s="65">
        <f t="shared" si="42"/>
        <v>704000</v>
      </c>
      <c r="G113" s="65">
        <f t="shared" si="42"/>
        <v>962000</v>
      </c>
    </row>
    <row r="114" spans="2:8" x14ac:dyDescent="0.25">
      <c r="B114" s="21" t="s">
        <v>136</v>
      </c>
      <c r="C114" s="65">
        <f>C62*C29</f>
        <v>450000</v>
      </c>
      <c r="D114" s="65">
        <f t="shared" ref="D114:F114" si="43">D62*D29</f>
        <v>605000.00000000012</v>
      </c>
      <c r="E114" s="65">
        <f t="shared" si="43"/>
        <v>806000</v>
      </c>
      <c r="F114" s="65">
        <f t="shared" si="43"/>
        <v>994000</v>
      </c>
      <c r="G114" s="65">
        <f>G62*G29</f>
        <v>1230000</v>
      </c>
    </row>
    <row r="115" spans="2:8" x14ac:dyDescent="0.25">
      <c r="B115" s="88" t="s">
        <v>142</v>
      </c>
      <c r="C115" s="89"/>
      <c r="D115" s="89"/>
      <c r="E115" s="89"/>
      <c r="F115" s="89"/>
      <c r="G115" s="90"/>
    </row>
    <row r="116" spans="2:8" x14ac:dyDescent="0.25">
      <c r="B116" s="21" t="s">
        <v>137</v>
      </c>
      <c r="C116" s="65">
        <f>C67*C31</f>
        <v>315000</v>
      </c>
      <c r="D116" s="65">
        <f>D67*D31</f>
        <v>468000</v>
      </c>
      <c r="E116" s="65">
        <f>E67*E31</f>
        <v>616000</v>
      </c>
      <c r="F116" s="65">
        <f>F67*F31</f>
        <v>750000</v>
      </c>
      <c r="G116" s="65">
        <f>G67*G31</f>
        <v>928000</v>
      </c>
    </row>
    <row r="117" spans="2:8" x14ac:dyDescent="0.25">
      <c r="B117" s="21" t="s">
        <v>138</v>
      </c>
      <c r="C117" s="65">
        <f>C72*C32</f>
        <v>320000</v>
      </c>
      <c r="D117" s="65">
        <f>D72*D32</f>
        <v>440000</v>
      </c>
      <c r="E117" s="65">
        <f t="shared" ref="E117:G117" si="44">E72*E32</f>
        <v>600000</v>
      </c>
      <c r="F117" s="65">
        <f t="shared" si="44"/>
        <v>798000</v>
      </c>
      <c r="G117" s="65">
        <f t="shared" si="44"/>
        <v>1056000</v>
      </c>
    </row>
    <row r="118" spans="2:8" x14ac:dyDescent="0.25">
      <c r="B118" s="21" t="s">
        <v>139</v>
      </c>
      <c r="C118" s="65">
        <f>C77*C33</f>
        <v>450000</v>
      </c>
      <c r="D118" s="65">
        <f>D77*D33</f>
        <v>600000</v>
      </c>
      <c r="E118" s="65">
        <f t="shared" ref="E118:G118" si="45">E77*E33</f>
        <v>784000.00000000012</v>
      </c>
      <c r="F118" s="65">
        <f t="shared" si="45"/>
        <v>960000</v>
      </c>
      <c r="G118" s="65">
        <f t="shared" si="45"/>
        <v>1258000</v>
      </c>
    </row>
    <row r="119" spans="2:8" x14ac:dyDescent="0.25">
      <c r="B119" s="21" t="s">
        <v>140</v>
      </c>
      <c r="C119" s="65">
        <f>C82*C34</f>
        <v>550000</v>
      </c>
      <c r="D119" s="65">
        <f t="shared" ref="D119:G119" si="46">D82*D34</f>
        <v>715000.00000000012</v>
      </c>
      <c r="E119" s="65">
        <f t="shared" si="46"/>
        <v>930000</v>
      </c>
      <c r="F119" s="65">
        <f t="shared" si="46"/>
        <v>1136000</v>
      </c>
      <c r="G119" s="65">
        <f t="shared" si="46"/>
        <v>1394000</v>
      </c>
    </row>
    <row r="120" spans="2:8" x14ac:dyDescent="0.25">
      <c r="B120" s="85" t="s">
        <v>128</v>
      </c>
      <c r="C120" s="86"/>
      <c r="D120" s="86"/>
      <c r="E120" s="86"/>
      <c r="F120" s="86"/>
      <c r="G120" s="87"/>
    </row>
    <row r="121" spans="2:8" x14ac:dyDescent="0.25">
      <c r="B121" s="18" t="s">
        <v>129</v>
      </c>
      <c r="C121" s="65">
        <f>C36*C90</f>
        <v>80000</v>
      </c>
      <c r="D121" s="65">
        <f t="shared" ref="D121:F121" si="47">D36*D90</f>
        <v>121000</v>
      </c>
      <c r="E121" s="65">
        <f t="shared" si="47"/>
        <v>169000</v>
      </c>
      <c r="F121" s="65">
        <f t="shared" si="47"/>
        <v>225000</v>
      </c>
      <c r="G121" s="65">
        <f>G36*G90</f>
        <v>288000</v>
      </c>
      <c r="H121" s="164"/>
    </row>
    <row r="122" spans="2:8" x14ac:dyDescent="0.25">
      <c r="B122" s="18" t="s">
        <v>130</v>
      </c>
      <c r="C122" s="65">
        <f>C37*C95</f>
        <v>70000</v>
      </c>
      <c r="D122" s="65">
        <f t="shared" ref="D122:G122" si="48">D37*D95</f>
        <v>96000</v>
      </c>
      <c r="E122" s="65">
        <f t="shared" si="48"/>
        <v>126000</v>
      </c>
      <c r="F122" s="65">
        <f t="shared" si="48"/>
        <v>176000</v>
      </c>
      <c r="G122" s="65">
        <f t="shared" si="48"/>
        <v>221000</v>
      </c>
    </row>
    <row r="123" spans="2:8" x14ac:dyDescent="0.25">
      <c r="B123" s="18" t="s">
        <v>131</v>
      </c>
      <c r="C123" s="65">
        <f>C38*C100</f>
        <v>60000</v>
      </c>
      <c r="D123" s="65">
        <f t="shared" ref="D123:G123" si="49">D38*D100</f>
        <v>84000</v>
      </c>
      <c r="E123" s="65">
        <f t="shared" si="49"/>
        <v>112000</v>
      </c>
      <c r="F123" s="65">
        <f t="shared" si="49"/>
        <v>128000</v>
      </c>
      <c r="G123" s="65">
        <f t="shared" si="49"/>
        <v>170000</v>
      </c>
    </row>
    <row r="124" spans="2:8" x14ac:dyDescent="0.25">
      <c r="B124" s="18" t="s">
        <v>132</v>
      </c>
      <c r="C124" s="65">
        <f>C39*C105</f>
        <v>50000</v>
      </c>
      <c r="D124" s="65">
        <f>D39*D105</f>
        <v>72000</v>
      </c>
      <c r="E124" s="65">
        <f>E39*E105</f>
        <v>91000</v>
      </c>
      <c r="F124" s="65">
        <f>F39*F105</f>
        <v>112000</v>
      </c>
      <c r="G124" s="65">
        <f>G39*G105</f>
        <v>140000</v>
      </c>
    </row>
    <row r="125" spans="2:8" x14ac:dyDescent="0.25">
      <c r="C125" s="23"/>
      <c r="D125" s="23"/>
      <c r="E125" s="23"/>
      <c r="F125" s="23"/>
      <c r="G125" s="23"/>
    </row>
    <row r="126" spans="2:8" x14ac:dyDescent="0.25">
      <c r="C126" s="23"/>
      <c r="D126" s="23"/>
      <c r="E126" s="23"/>
      <c r="F126" s="23"/>
      <c r="G126" s="23"/>
    </row>
    <row r="127" spans="2:8" x14ac:dyDescent="0.25">
      <c r="B127" s="37" t="s">
        <v>29</v>
      </c>
      <c r="C127" s="38" t="s">
        <v>21</v>
      </c>
      <c r="D127" s="38" t="s">
        <v>22</v>
      </c>
      <c r="E127" s="38" t="s">
        <v>23</v>
      </c>
      <c r="F127" s="38" t="s">
        <v>26</v>
      </c>
      <c r="G127" s="38" t="s">
        <v>25</v>
      </c>
    </row>
    <row r="128" spans="2:8" x14ac:dyDescent="0.25">
      <c r="B128" s="85" t="s">
        <v>127</v>
      </c>
      <c r="C128" s="86"/>
      <c r="D128" s="86"/>
      <c r="E128" s="86"/>
      <c r="F128" s="86"/>
      <c r="G128" s="87"/>
    </row>
    <row r="129" spans="2:7" x14ac:dyDescent="0.25">
      <c r="B129" s="88" t="s">
        <v>141</v>
      </c>
      <c r="C129" s="89"/>
      <c r="D129" s="89"/>
      <c r="E129" s="89"/>
      <c r="F129" s="89"/>
      <c r="G129" s="90"/>
    </row>
    <row r="130" spans="2:7" x14ac:dyDescent="0.25">
      <c r="B130" s="21" t="s">
        <v>133</v>
      </c>
      <c r="C130" s="12">
        <f>C111*25</f>
        <v>3750000</v>
      </c>
      <c r="D130" s="12">
        <f>D111*25</f>
        <v>5525000</v>
      </c>
      <c r="E130" s="12">
        <f t="shared" ref="D130:G130" si="50">E111*25</f>
        <v>7000000</v>
      </c>
      <c r="F130" s="12">
        <f t="shared" si="50"/>
        <v>9200000</v>
      </c>
      <c r="G130" s="12">
        <f>G111*25</f>
        <v>10800000</v>
      </c>
    </row>
    <row r="131" spans="2:7" x14ac:dyDescent="0.25">
      <c r="B131" s="21" t="s">
        <v>134</v>
      </c>
      <c r="C131" s="12">
        <f t="shared" ref="C131:G133" si="51">C112*25</f>
        <v>7000000</v>
      </c>
      <c r="D131" s="12">
        <f t="shared" si="51"/>
        <v>9750000</v>
      </c>
      <c r="E131" s="12">
        <f t="shared" si="51"/>
        <v>13200000</v>
      </c>
      <c r="F131" s="12">
        <f t="shared" si="51"/>
        <v>17500000</v>
      </c>
      <c r="G131" s="12">
        <f t="shared" si="51"/>
        <v>23200000</v>
      </c>
    </row>
    <row r="132" spans="2:7" x14ac:dyDescent="0.25">
      <c r="B132" s="21" t="s">
        <v>135</v>
      </c>
      <c r="C132" s="12">
        <f t="shared" si="51"/>
        <v>6750000</v>
      </c>
      <c r="D132" s="12">
        <f t="shared" si="51"/>
        <v>10000000</v>
      </c>
      <c r="E132" s="12">
        <f t="shared" si="51"/>
        <v>14000000.000000004</v>
      </c>
      <c r="F132" s="12">
        <f t="shared" si="51"/>
        <v>17600000</v>
      </c>
      <c r="G132" s="12">
        <f t="shared" si="51"/>
        <v>24050000</v>
      </c>
    </row>
    <row r="133" spans="2:7" x14ac:dyDescent="0.25">
      <c r="B133" s="21" t="s">
        <v>136</v>
      </c>
      <c r="C133" s="12">
        <f t="shared" si="51"/>
        <v>11250000</v>
      </c>
      <c r="D133" s="12">
        <f t="shared" si="51"/>
        <v>15125000.000000004</v>
      </c>
      <c r="E133" s="12">
        <f t="shared" si="51"/>
        <v>20150000</v>
      </c>
      <c r="F133" s="12">
        <f t="shared" si="51"/>
        <v>24850000</v>
      </c>
      <c r="G133" s="12">
        <f t="shared" si="51"/>
        <v>30750000</v>
      </c>
    </row>
    <row r="134" spans="2:7" x14ac:dyDescent="0.25">
      <c r="B134" s="88" t="s">
        <v>142</v>
      </c>
      <c r="C134" s="89"/>
      <c r="D134" s="89"/>
      <c r="E134" s="89"/>
      <c r="F134" s="89"/>
      <c r="G134" s="90"/>
    </row>
    <row r="135" spans="2:7" x14ac:dyDescent="0.25">
      <c r="B135" s="21" t="s">
        <v>137</v>
      </c>
      <c r="C135" s="12">
        <f>C116*25</f>
        <v>7875000</v>
      </c>
      <c r="D135" s="12">
        <f t="shared" ref="D135:G135" si="52">D116*25</f>
        <v>11700000</v>
      </c>
      <c r="E135" s="12">
        <f t="shared" si="52"/>
        <v>15400000</v>
      </c>
      <c r="F135" s="12">
        <f t="shared" si="52"/>
        <v>18750000</v>
      </c>
      <c r="G135" s="12">
        <f t="shared" si="52"/>
        <v>23200000</v>
      </c>
    </row>
    <row r="136" spans="2:7" x14ac:dyDescent="0.25">
      <c r="B136" s="21" t="s">
        <v>138</v>
      </c>
      <c r="C136" s="12">
        <f t="shared" ref="C136:G138" si="53">C117*25</f>
        <v>8000000</v>
      </c>
      <c r="D136" s="12">
        <f t="shared" si="53"/>
        <v>11000000</v>
      </c>
      <c r="E136" s="12">
        <f t="shared" si="53"/>
        <v>15000000</v>
      </c>
      <c r="F136" s="12">
        <f t="shared" si="53"/>
        <v>19950000</v>
      </c>
      <c r="G136" s="12">
        <f t="shared" si="53"/>
        <v>26400000</v>
      </c>
    </row>
    <row r="137" spans="2:7" x14ac:dyDescent="0.25">
      <c r="B137" s="21" t="s">
        <v>139</v>
      </c>
      <c r="C137" s="12">
        <f t="shared" si="53"/>
        <v>11250000</v>
      </c>
      <c r="D137" s="12">
        <f t="shared" si="53"/>
        <v>15000000</v>
      </c>
      <c r="E137" s="12">
        <f t="shared" si="53"/>
        <v>19600000.000000004</v>
      </c>
      <c r="F137" s="12">
        <f t="shared" si="53"/>
        <v>24000000</v>
      </c>
      <c r="G137" s="12">
        <f t="shared" si="53"/>
        <v>31450000</v>
      </c>
    </row>
    <row r="138" spans="2:7" x14ac:dyDescent="0.25">
      <c r="B138" s="21" t="s">
        <v>140</v>
      </c>
      <c r="C138" s="12">
        <f t="shared" si="53"/>
        <v>13750000</v>
      </c>
      <c r="D138" s="12">
        <f t="shared" si="53"/>
        <v>17875000.000000004</v>
      </c>
      <c r="E138" s="12">
        <f t="shared" si="53"/>
        <v>23250000</v>
      </c>
      <c r="F138" s="12">
        <f t="shared" si="53"/>
        <v>28400000</v>
      </c>
      <c r="G138" s="12">
        <f t="shared" si="53"/>
        <v>34850000</v>
      </c>
    </row>
    <row r="139" spans="2:7" x14ac:dyDescent="0.25">
      <c r="B139" s="85" t="s">
        <v>128</v>
      </c>
      <c r="C139" s="86"/>
      <c r="D139" s="86"/>
      <c r="E139" s="86"/>
      <c r="F139" s="86"/>
      <c r="G139" s="87"/>
    </row>
    <row r="140" spans="2:7" x14ac:dyDescent="0.25">
      <c r="B140" s="18" t="s">
        <v>129</v>
      </c>
      <c r="C140" s="12">
        <f>C121*25</f>
        <v>2000000</v>
      </c>
      <c r="D140" s="12">
        <f t="shared" ref="D140:G140" si="54">D121*25</f>
        <v>3025000</v>
      </c>
      <c r="E140" s="12">
        <f t="shared" si="54"/>
        <v>4225000</v>
      </c>
      <c r="F140" s="12">
        <f t="shared" si="54"/>
        <v>5625000</v>
      </c>
      <c r="G140" s="12">
        <f t="shared" si="54"/>
        <v>7200000</v>
      </c>
    </row>
    <row r="141" spans="2:7" x14ac:dyDescent="0.25">
      <c r="B141" s="18" t="s">
        <v>130</v>
      </c>
      <c r="C141" s="12">
        <f t="shared" ref="C141:G143" si="55">C122*25</f>
        <v>1750000</v>
      </c>
      <c r="D141" s="12">
        <f t="shared" si="55"/>
        <v>2400000</v>
      </c>
      <c r="E141" s="12">
        <f t="shared" si="55"/>
        <v>3150000</v>
      </c>
      <c r="F141" s="12">
        <f t="shared" si="55"/>
        <v>4400000</v>
      </c>
      <c r="G141" s="12">
        <f t="shared" si="55"/>
        <v>5525000</v>
      </c>
    </row>
    <row r="142" spans="2:7" x14ac:dyDescent="0.25">
      <c r="B142" s="18" t="s">
        <v>131</v>
      </c>
      <c r="C142" s="12">
        <f t="shared" si="55"/>
        <v>1500000</v>
      </c>
      <c r="D142" s="12">
        <f t="shared" si="55"/>
        <v>2100000</v>
      </c>
      <c r="E142" s="12">
        <f t="shared" si="55"/>
        <v>2800000</v>
      </c>
      <c r="F142" s="12">
        <f t="shared" si="55"/>
        <v>3200000</v>
      </c>
      <c r="G142" s="12">
        <f t="shared" si="55"/>
        <v>4250000</v>
      </c>
    </row>
    <row r="143" spans="2:7" x14ac:dyDescent="0.25">
      <c r="B143" s="18" t="s">
        <v>132</v>
      </c>
      <c r="C143" s="12">
        <f t="shared" si="55"/>
        <v>1250000</v>
      </c>
      <c r="D143" s="12">
        <f t="shared" si="55"/>
        <v>1800000</v>
      </c>
      <c r="E143" s="12">
        <f t="shared" si="55"/>
        <v>2275000</v>
      </c>
      <c r="F143" s="12">
        <f t="shared" si="55"/>
        <v>2800000</v>
      </c>
      <c r="G143" s="12">
        <f t="shared" si="55"/>
        <v>3500000</v>
      </c>
    </row>
    <row r="144" spans="2:7" x14ac:dyDescent="0.25">
      <c r="C144" s="84"/>
      <c r="D144" s="23"/>
      <c r="E144" s="23"/>
      <c r="F144" s="23"/>
      <c r="G144" s="23"/>
    </row>
    <row r="145" spans="2:7" x14ac:dyDescent="0.25">
      <c r="C145" s="23"/>
      <c r="D145" s="23"/>
      <c r="E145" s="23"/>
      <c r="F145" s="23"/>
      <c r="G145" s="23"/>
    </row>
    <row r="146" spans="2:7" x14ac:dyDescent="0.25">
      <c r="B146" s="27" t="s">
        <v>30</v>
      </c>
      <c r="C146" s="28" t="s">
        <v>21</v>
      </c>
      <c r="D146" s="28" t="s">
        <v>22</v>
      </c>
      <c r="E146" s="28" t="s">
        <v>23</v>
      </c>
      <c r="F146" s="28" t="s">
        <v>26</v>
      </c>
      <c r="G146" s="28" t="s">
        <v>25</v>
      </c>
    </row>
    <row r="147" spans="2:7" x14ac:dyDescent="0.25">
      <c r="B147" s="85" t="s">
        <v>127</v>
      </c>
      <c r="C147" s="86"/>
      <c r="D147" s="86"/>
      <c r="E147" s="86"/>
      <c r="F147" s="86"/>
      <c r="G147" s="87"/>
    </row>
    <row r="148" spans="2:7" x14ac:dyDescent="0.25">
      <c r="B148" s="88" t="s">
        <v>141</v>
      </c>
      <c r="C148" s="89"/>
      <c r="D148" s="89"/>
      <c r="E148" s="89"/>
      <c r="F148" s="89"/>
      <c r="G148" s="90"/>
    </row>
    <row r="149" spans="2:7" x14ac:dyDescent="0.25">
      <c r="B149" s="21" t="s">
        <v>133</v>
      </c>
      <c r="C149" s="12">
        <f>C130*12</f>
        <v>45000000</v>
      </c>
      <c r="D149" s="12">
        <f t="shared" ref="D149:G149" si="56">D130*12</f>
        <v>66300000</v>
      </c>
      <c r="E149" s="12">
        <f t="shared" si="56"/>
        <v>84000000</v>
      </c>
      <c r="F149" s="12">
        <f t="shared" si="56"/>
        <v>110400000</v>
      </c>
      <c r="G149" s="12">
        <f t="shared" si="56"/>
        <v>129600000</v>
      </c>
    </row>
    <row r="150" spans="2:7" x14ac:dyDescent="0.25">
      <c r="B150" s="21" t="s">
        <v>134</v>
      </c>
      <c r="C150" s="12">
        <f>C131*12</f>
        <v>84000000</v>
      </c>
      <c r="D150" s="12">
        <f t="shared" ref="C150:G150" si="57">D131*12</f>
        <v>117000000</v>
      </c>
      <c r="E150" s="12">
        <f t="shared" si="57"/>
        <v>158400000</v>
      </c>
      <c r="F150" s="12">
        <f t="shared" si="57"/>
        <v>210000000</v>
      </c>
      <c r="G150" s="12">
        <f t="shared" si="57"/>
        <v>278400000</v>
      </c>
    </row>
    <row r="151" spans="2:7" x14ac:dyDescent="0.25">
      <c r="B151" s="21" t="s">
        <v>135</v>
      </c>
      <c r="C151" s="12">
        <f t="shared" ref="C151:G151" si="58">C132*12</f>
        <v>81000000</v>
      </c>
      <c r="D151" s="12">
        <f t="shared" si="58"/>
        <v>120000000</v>
      </c>
      <c r="E151" s="12">
        <f t="shared" si="58"/>
        <v>168000000.00000006</v>
      </c>
      <c r="F151" s="12">
        <f t="shared" si="58"/>
        <v>211200000</v>
      </c>
      <c r="G151" s="12">
        <f t="shared" si="58"/>
        <v>288600000</v>
      </c>
    </row>
    <row r="152" spans="2:7" x14ac:dyDescent="0.25">
      <c r="B152" s="21" t="s">
        <v>136</v>
      </c>
      <c r="C152" s="12">
        <f t="shared" ref="C152:G152" si="59">C133*12</f>
        <v>135000000</v>
      </c>
      <c r="D152" s="12">
        <f t="shared" si="59"/>
        <v>181500000.00000006</v>
      </c>
      <c r="E152" s="12">
        <f t="shared" si="59"/>
        <v>241800000</v>
      </c>
      <c r="F152" s="12">
        <f t="shared" si="59"/>
        <v>298200000</v>
      </c>
      <c r="G152" s="12">
        <f t="shared" si="59"/>
        <v>369000000</v>
      </c>
    </row>
    <row r="153" spans="2:7" x14ac:dyDescent="0.25">
      <c r="B153" s="88" t="s">
        <v>142</v>
      </c>
      <c r="C153" s="89"/>
      <c r="D153" s="89"/>
      <c r="E153" s="89"/>
      <c r="F153" s="89"/>
      <c r="G153" s="90"/>
    </row>
    <row r="154" spans="2:7" x14ac:dyDescent="0.25">
      <c r="B154" s="21" t="s">
        <v>137</v>
      </c>
      <c r="C154" s="12">
        <f t="shared" ref="C150:G162" si="60">C135*12</f>
        <v>94500000</v>
      </c>
      <c r="D154" s="12">
        <f t="shared" si="60"/>
        <v>140400000</v>
      </c>
      <c r="E154" s="12">
        <f t="shared" si="60"/>
        <v>184800000</v>
      </c>
      <c r="F154" s="12">
        <f t="shared" si="60"/>
        <v>225000000</v>
      </c>
      <c r="G154" s="12">
        <f t="shared" si="60"/>
        <v>278400000</v>
      </c>
    </row>
    <row r="155" spans="2:7" x14ac:dyDescent="0.25">
      <c r="B155" s="21" t="s">
        <v>138</v>
      </c>
      <c r="C155" s="12">
        <f t="shared" ref="C155:G155" si="61">C136*12</f>
        <v>96000000</v>
      </c>
      <c r="D155" s="12">
        <f t="shared" si="61"/>
        <v>132000000</v>
      </c>
      <c r="E155" s="12">
        <f t="shared" si="61"/>
        <v>180000000</v>
      </c>
      <c r="F155" s="12">
        <f t="shared" si="61"/>
        <v>239400000</v>
      </c>
      <c r="G155" s="12">
        <f t="shared" si="61"/>
        <v>316800000</v>
      </c>
    </row>
    <row r="156" spans="2:7" x14ac:dyDescent="0.25">
      <c r="B156" s="21" t="s">
        <v>139</v>
      </c>
      <c r="C156" s="12">
        <f t="shared" ref="C156:G156" si="62">C137*12</f>
        <v>135000000</v>
      </c>
      <c r="D156" s="12">
        <f t="shared" si="62"/>
        <v>180000000</v>
      </c>
      <c r="E156" s="12">
        <f t="shared" si="62"/>
        <v>235200000.00000006</v>
      </c>
      <c r="F156" s="12">
        <f t="shared" si="62"/>
        <v>288000000</v>
      </c>
      <c r="G156" s="12">
        <f t="shared" si="62"/>
        <v>377400000</v>
      </c>
    </row>
    <row r="157" spans="2:7" x14ac:dyDescent="0.25">
      <c r="B157" s="21" t="s">
        <v>140</v>
      </c>
      <c r="C157" s="12">
        <f t="shared" ref="C157:G157" si="63">C138*12</f>
        <v>165000000</v>
      </c>
      <c r="D157" s="12">
        <f t="shared" si="63"/>
        <v>214500000.00000006</v>
      </c>
      <c r="E157" s="12">
        <f t="shared" si="63"/>
        <v>279000000</v>
      </c>
      <c r="F157" s="12">
        <f t="shared" si="63"/>
        <v>340800000</v>
      </c>
      <c r="G157" s="12">
        <f t="shared" si="63"/>
        <v>418200000</v>
      </c>
    </row>
    <row r="158" spans="2:7" x14ac:dyDescent="0.25">
      <c r="B158" s="85" t="s">
        <v>128</v>
      </c>
      <c r="C158" s="86"/>
      <c r="D158" s="86"/>
      <c r="E158" s="86"/>
      <c r="F158" s="86"/>
      <c r="G158" s="87"/>
    </row>
    <row r="159" spans="2:7" x14ac:dyDescent="0.25">
      <c r="B159" s="18" t="s">
        <v>129</v>
      </c>
      <c r="C159" s="12">
        <f>C140*12</f>
        <v>24000000</v>
      </c>
      <c r="D159" s="12">
        <f t="shared" ref="D159:G159" si="64">D140*12</f>
        <v>36300000</v>
      </c>
      <c r="E159" s="12">
        <f t="shared" si="64"/>
        <v>50700000</v>
      </c>
      <c r="F159" s="12">
        <f t="shared" si="64"/>
        <v>67500000</v>
      </c>
      <c r="G159" s="12">
        <f t="shared" si="64"/>
        <v>86400000</v>
      </c>
    </row>
    <row r="160" spans="2:7" x14ac:dyDescent="0.25">
      <c r="B160" s="18" t="s">
        <v>130</v>
      </c>
      <c r="C160" s="12">
        <f t="shared" ref="C160:G160" si="65">C141*12</f>
        <v>21000000</v>
      </c>
      <c r="D160" s="12">
        <f t="shared" si="65"/>
        <v>28800000</v>
      </c>
      <c r="E160" s="12">
        <f t="shared" si="65"/>
        <v>37800000</v>
      </c>
      <c r="F160" s="12">
        <f t="shared" si="65"/>
        <v>52800000</v>
      </c>
      <c r="G160" s="12">
        <f t="shared" si="65"/>
        <v>66300000</v>
      </c>
    </row>
    <row r="161" spans="2:7" x14ac:dyDescent="0.25">
      <c r="B161" s="18" t="s">
        <v>131</v>
      </c>
      <c r="C161" s="12">
        <f t="shared" ref="C161:G161" si="66">C142*12</f>
        <v>18000000</v>
      </c>
      <c r="D161" s="12">
        <f t="shared" si="66"/>
        <v>25200000</v>
      </c>
      <c r="E161" s="12">
        <f t="shared" si="66"/>
        <v>33600000</v>
      </c>
      <c r="F161" s="12">
        <f t="shared" si="66"/>
        <v>38400000</v>
      </c>
      <c r="G161" s="12">
        <f t="shared" si="66"/>
        <v>51000000</v>
      </c>
    </row>
    <row r="162" spans="2:7" x14ac:dyDescent="0.25">
      <c r="B162" s="18" t="s">
        <v>132</v>
      </c>
      <c r="C162" s="12">
        <f>C143*12</f>
        <v>15000000</v>
      </c>
      <c r="D162" s="12">
        <f t="shared" ref="D162:F162" si="67">D143*12</f>
        <v>21600000</v>
      </c>
      <c r="E162" s="12">
        <f t="shared" si="67"/>
        <v>27300000</v>
      </c>
      <c r="F162" s="12">
        <f t="shared" si="67"/>
        <v>33600000</v>
      </c>
      <c r="G162" s="12">
        <f>G143*12</f>
        <v>42000000</v>
      </c>
    </row>
    <row r="163" spans="2:7" x14ac:dyDescent="0.25">
      <c r="C163" s="23"/>
      <c r="D163" s="23"/>
      <c r="E163" s="23"/>
      <c r="F163" s="23"/>
      <c r="G163" s="23"/>
    </row>
    <row r="164" spans="2:7" x14ac:dyDescent="0.25">
      <c r="C164" s="23"/>
      <c r="D164" s="23"/>
      <c r="E164" s="23"/>
      <c r="F164" s="23"/>
      <c r="G164" s="23"/>
    </row>
    <row r="165" spans="2:7" x14ac:dyDescent="0.25">
      <c r="B165" s="77" t="s">
        <v>31</v>
      </c>
      <c r="C165" s="77"/>
      <c r="D165" s="77"/>
      <c r="E165" s="77"/>
      <c r="F165" s="77"/>
      <c r="G165" s="77"/>
    </row>
    <row r="166" spans="2:7" x14ac:dyDescent="0.25">
      <c r="B166" s="43" t="s">
        <v>32</v>
      </c>
      <c r="C166" s="29" t="s">
        <v>21</v>
      </c>
      <c r="D166" s="29" t="s">
        <v>22</v>
      </c>
      <c r="E166" s="29" t="s">
        <v>23</v>
      </c>
      <c r="F166" s="29" t="s">
        <v>26</v>
      </c>
      <c r="G166" s="29" t="s">
        <v>25</v>
      </c>
    </row>
    <row r="167" spans="2:7" x14ac:dyDescent="0.25">
      <c r="B167" s="17" t="s">
        <v>33</v>
      </c>
      <c r="C167" s="10">
        <f>C199</f>
        <v>61150000</v>
      </c>
      <c r="D167" s="10">
        <f t="shared" ref="D167:G167" si="68">D199</f>
        <v>67265000</v>
      </c>
      <c r="E167" s="10">
        <f t="shared" si="68"/>
        <v>75336800.000000015</v>
      </c>
      <c r="F167" s="10">
        <f t="shared" si="68"/>
        <v>85130584.000000015</v>
      </c>
      <c r="G167" s="10">
        <f t="shared" si="68"/>
        <v>97900171.599999994</v>
      </c>
    </row>
    <row r="168" spans="2:7" x14ac:dyDescent="0.25">
      <c r="B168" s="17" t="s">
        <v>34</v>
      </c>
      <c r="C168" s="10">
        <f>C257</f>
        <v>284736000</v>
      </c>
      <c r="D168" s="10">
        <f t="shared" ref="D168:G168" si="69">D257</f>
        <v>327446400</v>
      </c>
      <c r="E168" s="10">
        <f t="shared" si="69"/>
        <v>386386752</v>
      </c>
      <c r="F168" s="10">
        <f t="shared" si="69"/>
        <v>463664102.39999998</v>
      </c>
      <c r="G168" s="10">
        <f t="shared" si="69"/>
        <v>579580128</v>
      </c>
    </row>
    <row r="169" spans="2:7" x14ac:dyDescent="0.25">
      <c r="B169" s="17" t="s">
        <v>35</v>
      </c>
      <c r="C169" s="10">
        <f>C268</f>
        <v>30000000</v>
      </c>
      <c r="D169" s="10">
        <f t="shared" ref="D169:G169" si="70">D268</f>
        <v>33000000.000000004</v>
      </c>
      <c r="E169" s="10">
        <f t="shared" si="70"/>
        <v>37950000</v>
      </c>
      <c r="F169" s="10">
        <f t="shared" si="70"/>
        <v>44401500</v>
      </c>
      <c r="G169" s="10">
        <f t="shared" si="70"/>
        <v>53281800</v>
      </c>
    </row>
    <row r="170" spans="2:7" x14ac:dyDescent="0.25">
      <c r="B170" s="17" t="s">
        <v>36</v>
      </c>
      <c r="C170" s="10">
        <f>35000*5*12</f>
        <v>2100000</v>
      </c>
      <c r="D170" s="10">
        <f t="shared" ref="D170:G170" si="71">35000*5*12</f>
        <v>2100000</v>
      </c>
      <c r="E170" s="10">
        <f t="shared" si="71"/>
        <v>2100000</v>
      </c>
      <c r="F170" s="10">
        <f t="shared" si="71"/>
        <v>2100000</v>
      </c>
      <c r="G170" s="10">
        <f t="shared" si="71"/>
        <v>2100000</v>
      </c>
    </row>
    <row r="171" spans="2:7" x14ac:dyDescent="0.25">
      <c r="B171" s="17" t="s">
        <v>37</v>
      </c>
      <c r="C171" s="10">
        <f>C279</f>
        <v>26400000</v>
      </c>
      <c r="D171" s="10">
        <f t="shared" ref="D171:G171" si="72">D279</f>
        <v>30359999.999999996</v>
      </c>
      <c r="E171" s="10">
        <f t="shared" si="72"/>
        <v>35824799.999999993</v>
      </c>
      <c r="F171" s="10">
        <f t="shared" si="72"/>
        <v>42989759.999999993</v>
      </c>
      <c r="G171" s="10">
        <f t="shared" si="72"/>
        <v>53737199.999999993</v>
      </c>
    </row>
    <row r="172" spans="2:7" x14ac:dyDescent="0.25">
      <c r="B172" s="17" t="s">
        <v>38</v>
      </c>
      <c r="C172" s="10">
        <f>C290</f>
        <v>12000000</v>
      </c>
      <c r="D172" s="10">
        <f>D290</f>
        <v>12200000</v>
      </c>
      <c r="E172" s="10">
        <f>E290</f>
        <v>12500000</v>
      </c>
      <c r="F172" s="10">
        <f>F290</f>
        <v>12840000</v>
      </c>
      <c r="G172" s="10">
        <f>G290</f>
        <v>13240000</v>
      </c>
    </row>
    <row r="173" spans="2:7" x14ac:dyDescent="0.25">
      <c r="B173" s="19" t="s">
        <v>6</v>
      </c>
      <c r="C173" s="25">
        <f>SUM(C167:C172)</f>
        <v>416386000</v>
      </c>
      <c r="D173" s="25">
        <f t="shared" ref="D173:G173" si="73">SUM(D167:D172)</f>
        <v>472371400</v>
      </c>
      <c r="E173" s="25">
        <f t="shared" si="73"/>
        <v>550098352</v>
      </c>
      <c r="F173" s="25">
        <f t="shared" si="73"/>
        <v>651125946.39999998</v>
      </c>
      <c r="G173" s="25">
        <f t="shared" si="73"/>
        <v>799839299.60000002</v>
      </c>
    </row>
    <row r="174" spans="2:7" x14ac:dyDescent="0.25">
      <c r="C174" s="23"/>
      <c r="D174" s="23"/>
      <c r="E174" s="23"/>
      <c r="F174" s="23"/>
      <c r="G174" s="23"/>
    </row>
    <row r="175" spans="2:7" x14ac:dyDescent="0.25">
      <c r="C175" s="23"/>
      <c r="D175" s="23"/>
      <c r="E175" s="23"/>
      <c r="F175" s="23"/>
      <c r="G175" s="23"/>
    </row>
    <row r="176" spans="2:7" x14ac:dyDescent="0.25">
      <c r="B176" s="31" t="s">
        <v>39</v>
      </c>
      <c r="C176" s="32" t="s">
        <v>40</v>
      </c>
      <c r="D176" s="32" t="s">
        <v>33</v>
      </c>
      <c r="E176" s="32" t="s">
        <v>41</v>
      </c>
      <c r="F176" s="23"/>
      <c r="G176" s="23"/>
    </row>
    <row r="177" spans="2:7" x14ac:dyDescent="0.25">
      <c r="B177" s="4" t="s">
        <v>105</v>
      </c>
      <c r="C177" s="15">
        <v>5</v>
      </c>
      <c r="D177" s="13">
        <v>5200000</v>
      </c>
      <c r="E177" s="13">
        <f>D177*C177</f>
        <v>26000000</v>
      </c>
      <c r="F177" s="23"/>
      <c r="G177" s="23"/>
    </row>
    <row r="178" spans="2:7" x14ac:dyDescent="0.25">
      <c r="B178" s="4" t="s">
        <v>42</v>
      </c>
      <c r="C178" s="15">
        <v>1</v>
      </c>
      <c r="D178" s="13">
        <v>4950000</v>
      </c>
      <c r="E178" s="13">
        <f t="shared" ref="E178:E181" si="74">D178*C178</f>
        <v>4950000</v>
      </c>
      <c r="F178" s="23"/>
      <c r="G178" s="23"/>
    </row>
    <row r="179" spans="2:7" x14ac:dyDescent="0.25">
      <c r="B179" s="4" t="s">
        <v>106</v>
      </c>
      <c r="C179" s="15">
        <v>3</v>
      </c>
      <c r="D179" s="13">
        <v>4850000</v>
      </c>
      <c r="E179" s="13">
        <f t="shared" si="74"/>
        <v>14550000</v>
      </c>
      <c r="F179" s="23"/>
      <c r="G179" s="23"/>
    </row>
    <row r="180" spans="2:7" x14ac:dyDescent="0.25">
      <c r="B180" s="4" t="s">
        <v>164</v>
      </c>
      <c r="C180" s="15">
        <v>1</v>
      </c>
      <c r="D180" s="13">
        <v>4950000</v>
      </c>
      <c r="E180" s="13">
        <f t="shared" si="74"/>
        <v>4950000</v>
      </c>
      <c r="F180" s="23"/>
      <c r="G180" s="23"/>
    </row>
    <row r="181" spans="2:7" x14ac:dyDescent="0.25">
      <c r="B181" s="5" t="s">
        <v>165</v>
      </c>
      <c r="C181" s="15">
        <v>1</v>
      </c>
      <c r="D181" s="13">
        <v>4900000</v>
      </c>
      <c r="E181" s="13">
        <f t="shared" si="74"/>
        <v>4900000</v>
      </c>
      <c r="F181" s="23"/>
      <c r="G181" s="23"/>
    </row>
    <row r="182" spans="2:7" x14ac:dyDescent="0.25">
      <c r="B182" s="5" t="s">
        <v>166</v>
      </c>
      <c r="C182" s="15">
        <v>1</v>
      </c>
      <c r="D182" s="13">
        <v>5800000</v>
      </c>
      <c r="E182" s="13">
        <f>D182*C182</f>
        <v>5800000</v>
      </c>
      <c r="F182" s="23"/>
      <c r="G182" s="23"/>
    </row>
    <row r="183" spans="2:7" x14ac:dyDescent="0.25">
      <c r="B183" s="79" t="s">
        <v>41</v>
      </c>
      <c r="C183" s="80"/>
      <c r="D183" s="81"/>
      <c r="E183" s="44">
        <f>SUM(E177:E182)</f>
        <v>61150000</v>
      </c>
      <c r="F183" s="23"/>
      <c r="G183" s="23"/>
    </row>
    <row r="184" spans="2:7" x14ac:dyDescent="0.25">
      <c r="C184" s="23"/>
      <c r="D184" s="23"/>
      <c r="E184" s="23"/>
      <c r="F184" s="23"/>
      <c r="G184" s="23"/>
    </row>
    <row r="185" spans="2:7" x14ac:dyDescent="0.25">
      <c r="C185" s="23"/>
      <c r="D185" s="23"/>
      <c r="E185" s="23"/>
      <c r="F185" s="23"/>
      <c r="G185" s="23"/>
    </row>
    <row r="186" spans="2:7" x14ac:dyDescent="0.25">
      <c r="B186" s="46" t="s">
        <v>107</v>
      </c>
      <c r="C186" s="34" t="s">
        <v>21</v>
      </c>
      <c r="D186" s="34" t="s">
        <v>22</v>
      </c>
      <c r="E186" s="34" t="s">
        <v>23</v>
      </c>
      <c r="F186" s="34" t="s">
        <v>26</v>
      </c>
      <c r="G186" s="34" t="s">
        <v>25</v>
      </c>
    </row>
    <row r="187" spans="2:7" x14ac:dyDescent="0.25">
      <c r="B187" s="63" t="s">
        <v>105</v>
      </c>
      <c r="C187" s="13">
        <f>E177</f>
        <v>26000000</v>
      </c>
      <c r="D187" s="13">
        <f>C187*(100%+D188)</f>
        <v>28600000.000000004</v>
      </c>
      <c r="E187" s="13">
        <f t="shared" ref="E187:G187" si="75">D187*(100%+E188)</f>
        <v>32032000.000000007</v>
      </c>
      <c r="F187" s="13">
        <f t="shared" si="75"/>
        <v>36196160.000000007</v>
      </c>
      <c r="G187" s="13">
        <f t="shared" si="75"/>
        <v>41625584.000000007</v>
      </c>
    </row>
    <row r="188" spans="2:7" x14ac:dyDescent="0.25">
      <c r="B188" s="61" t="s">
        <v>43</v>
      </c>
      <c r="C188" s="13"/>
      <c r="D188" s="16">
        <v>0.1</v>
      </c>
      <c r="E188" s="62">
        <v>0.12</v>
      </c>
      <c r="F188" s="16">
        <v>0.13</v>
      </c>
      <c r="G188" s="62">
        <v>0.15</v>
      </c>
    </row>
    <row r="189" spans="2:7" x14ac:dyDescent="0.25">
      <c r="B189" s="6" t="s">
        <v>42</v>
      </c>
      <c r="C189" s="13">
        <f>E178</f>
        <v>4950000</v>
      </c>
      <c r="D189" s="13">
        <f>C189*(100%+D190)</f>
        <v>5445000</v>
      </c>
      <c r="E189" s="13">
        <f t="shared" ref="E189:G189" si="76">D189*(100%+E190)</f>
        <v>6098400.0000000009</v>
      </c>
      <c r="F189" s="13">
        <f t="shared" si="76"/>
        <v>6891192</v>
      </c>
      <c r="G189" s="13">
        <f t="shared" si="76"/>
        <v>7924870.7999999998</v>
      </c>
    </row>
    <row r="190" spans="2:7" x14ac:dyDescent="0.25">
      <c r="B190" s="61" t="s">
        <v>43</v>
      </c>
      <c r="C190" s="9"/>
      <c r="D190" s="16">
        <v>0.1</v>
      </c>
      <c r="E190" s="62">
        <v>0.12</v>
      </c>
      <c r="F190" s="16">
        <v>0.13</v>
      </c>
      <c r="G190" s="62">
        <v>0.15</v>
      </c>
    </row>
    <row r="191" spans="2:7" x14ac:dyDescent="0.25">
      <c r="B191" s="6" t="s">
        <v>106</v>
      </c>
      <c r="C191" s="13">
        <f>E179</f>
        <v>14550000</v>
      </c>
      <c r="D191" s="13">
        <f>C191*(100%+D192)</f>
        <v>16005000.000000002</v>
      </c>
      <c r="E191" s="13">
        <f t="shared" ref="E191:G191" si="77">D191*(100%+E192)</f>
        <v>17925600.000000004</v>
      </c>
      <c r="F191" s="13">
        <f t="shared" si="77"/>
        <v>20255928.000000004</v>
      </c>
      <c r="G191" s="13">
        <f t="shared" si="77"/>
        <v>23294317.200000003</v>
      </c>
    </row>
    <row r="192" spans="2:7" x14ac:dyDescent="0.25">
      <c r="B192" s="61" t="s">
        <v>43</v>
      </c>
      <c r="C192" s="9"/>
      <c r="D192" s="16">
        <v>0.1</v>
      </c>
      <c r="E192" s="62">
        <v>0.12</v>
      </c>
      <c r="F192" s="16">
        <v>0.13</v>
      </c>
      <c r="G192" s="62">
        <v>0.15</v>
      </c>
    </row>
    <row r="193" spans="2:7" x14ac:dyDescent="0.25">
      <c r="B193" s="6" t="s">
        <v>164</v>
      </c>
      <c r="C193" s="13">
        <f>E180</f>
        <v>4950000</v>
      </c>
      <c r="D193" s="13">
        <f>C193*(100%+D194)</f>
        <v>5445000</v>
      </c>
      <c r="E193" s="13">
        <f t="shared" ref="E193:G193" si="78">D193*(100%+E194)</f>
        <v>6098400.0000000009</v>
      </c>
      <c r="F193" s="13">
        <f t="shared" si="78"/>
        <v>6891192</v>
      </c>
      <c r="G193" s="13">
        <f t="shared" si="78"/>
        <v>7924870.7999999998</v>
      </c>
    </row>
    <row r="194" spans="2:7" x14ac:dyDescent="0.25">
      <c r="B194" s="61" t="s">
        <v>43</v>
      </c>
      <c r="C194" s="9"/>
      <c r="D194" s="16">
        <v>0.1</v>
      </c>
      <c r="E194" s="62">
        <v>0.12</v>
      </c>
      <c r="F194" s="16">
        <v>0.13</v>
      </c>
      <c r="G194" s="62">
        <v>0.15</v>
      </c>
    </row>
    <row r="195" spans="2:7" x14ac:dyDescent="0.25">
      <c r="B195" s="39" t="s">
        <v>165</v>
      </c>
      <c r="C195" s="13">
        <f>E181</f>
        <v>4900000</v>
      </c>
      <c r="D195" s="13">
        <f>C195*(100%+D196)</f>
        <v>5390000</v>
      </c>
      <c r="E195" s="13">
        <f t="shared" ref="E195:G195" si="79">D195*(100%+E196)</f>
        <v>6036800.0000000009</v>
      </c>
      <c r="F195" s="13">
        <f t="shared" si="79"/>
        <v>6821584</v>
      </c>
      <c r="G195" s="13">
        <f t="shared" si="79"/>
        <v>7844821.5999999996</v>
      </c>
    </row>
    <row r="196" spans="2:7" x14ac:dyDescent="0.25">
      <c r="B196" s="61" t="s">
        <v>43</v>
      </c>
      <c r="C196" s="9"/>
      <c r="D196" s="16">
        <v>0.1</v>
      </c>
      <c r="E196" s="62">
        <v>0.12</v>
      </c>
      <c r="F196" s="16">
        <v>0.13</v>
      </c>
      <c r="G196" s="62">
        <v>0.15</v>
      </c>
    </row>
    <row r="197" spans="2:7" x14ac:dyDescent="0.25">
      <c r="B197" s="39" t="s">
        <v>166</v>
      </c>
      <c r="C197" s="13">
        <f>E182</f>
        <v>5800000</v>
      </c>
      <c r="D197" s="13">
        <f>C197*(100%+D198)</f>
        <v>6380000.0000000009</v>
      </c>
      <c r="E197" s="13">
        <f>D197*(100%+E198)</f>
        <v>7145600.0000000019</v>
      </c>
      <c r="F197" s="13">
        <f>E197*(100%+F198)</f>
        <v>8074528.0000000009</v>
      </c>
      <c r="G197" s="13">
        <f t="shared" ref="G197" si="80">F197*(100%+G198)</f>
        <v>9285707.2000000011</v>
      </c>
    </row>
    <row r="198" spans="2:7" x14ac:dyDescent="0.25">
      <c r="B198" s="61" t="s">
        <v>43</v>
      </c>
      <c r="C198" s="9"/>
      <c r="D198" s="16">
        <v>0.1</v>
      </c>
      <c r="E198" s="62">
        <v>0.12</v>
      </c>
      <c r="F198" s="16">
        <v>0.13</v>
      </c>
      <c r="G198" s="62">
        <v>0.15</v>
      </c>
    </row>
    <row r="199" spans="2:7" x14ac:dyDescent="0.25">
      <c r="B199" s="46" t="s">
        <v>44</v>
      </c>
      <c r="C199" s="47">
        <f>SUM(C187:C198)</f>
        <v>61150000</v>
      </c>
      <c r="D199" s="47">
        <f>D187+D189+D191+D193+D195+D197</f>
        <v>67265000</v>
      </c>
      <c r="E199" s="47">
        <f t="shared" ref="E199:F199" si="81">E187+E189+E191+E193+E195+E197</f>
        <v>75336800.000000015</v>
      </c>
      <c r="F199" s="47">
        <f t="shared" si="81"/>
        <v>85130584.000000015</v>
      </c>
      <c r="G199" s="47">
        <f>G187+G189+G191+G193+G195+G197</f>
        <v>97900171.599999994</v>
      </c>
    </row>
    <row r="200" spans="2:7" x14ac:dyDescent="0.25">
      <c r="C200" s="23"/>
      <c r="D200" s="23"/>
      <c r="E200" s="23"/>
      <c r="F200" s="23"/>
      <c r="G200" s="23"/>
    </row>
    <row r="201" spans="2:7" x14ac:dyDescent="0.25">
      <c r="C201" s="23"/>
      <c r="D201" s="23"/>
      <c r="E201" s="23"/>
      <c r="F201" s="23"/>
      <c r="G201" s="23"/>
    </row>
    <row r="202" spans="2:7" x14ac:dyDescent="0.25">
      <c r="B202" s="76" t="s">
        <v>45</v>
      </c>
      <c r="C202" s="76"/>
      <c r="D202" s="76"/>
      <c r="E202" s="76"/>
      <c r="F202" s="76"/>
      <c r="G202" s="49"/>
    </row>
    <row r="203" spans="2:7" x14ac:dyDescent="0.25">
      <c r="B203" s="48" t="s">
        <v>46</v>
      </c>
      <c r="C203" s="24" t="s">
        <v>3</v>
      </c>
      <c r="D203" s="24" t="s">
        <v>47</v>
      </c>
      <c r="E203" s="24" t="s">
        <v>4</v>
      </c>
      <c r="F203" s="24" t="s">
        <v>6</v>
      </c>
      <c r="G203" s="23"/>
    </row>
    <row r="204" spans="2:7" x14ac:dyDescent="0.25">
      <c r="B204" s="45" t="s">
        <v>59</v>
      </c>
      <c r="C204" s="9">
        <v>10</v>
      </c>
      <c r="D204" s="9">
        <v>1</v>
      </c>
      <c r="E204" s="13">
        <v>20000</v>
      </c>
      <c r="F204" s="13">
        <f t="shared" ref="F204:F209" si="82">E204*(C204*D204)</f>
        <v>200000</v>
      </c>
      <c r="G204" s="23"/>
    </row>
    <row r="205" spans="2:7" x14ac:dyDescent="0.25">
      <c r="B205" s="45" t="s">
        <v>65</v>
      </c>
      <c r="C205" s="9">
        <v>20</v>
      </c>
      <c r="D205" s="9">
        <v>1</v>
      </c>
      <c r="E205" s="13">
        <v>30000</v>
      </c>
      <c r="F205" s="13">
        <f t="shared" si="82"/>
        <v>600000</v>
      </c>
      <c r="G205" s="23"/>
    </row>
    <row r="206" spans="2:7" x14ac:dyDescent="0.25">
      <c r="B206" s="45" t="s">
        <v>108</v>
      </c>
      <c r="C206" s="9">
        <v>6</v>
      </c>
      <c r="D206" s="9">
        <v>1</v>
      </c>
      <c r="E206" s="13">
        <v>50000</v>
      </c>
      <c r="F206" s="13">
        <f t="shared" si="82"/>
        <v>300000</v>
      </c>
      <c r="G206" s="23"/>
    </row>
    <row r="207" spans="2:7" x14ac:dyDescent="0.25">
      <c r="B207" s="45" t="s">
        <v>109</v>
      </c>
      <c r="C207" s="9">
        <v>10</v>
      </c>
      <c r="D207" s="9">
        <v>1</v>
      </c>
      <c r="E207" s="13">
        <v>18000</v>
      </c>
      <c r="F207" s="13">
        <f t="shared" si="82"/>
        <v>180000</v>
      </c>
      <c r="G207" s="23"/>
    </row>
    <row r="208" spans="2:7" x14ac:dyDescent="0.25">
      <c r="B208" s="45" t="s">
        <v>208</v>
      </c>
      <c r="C208" s="9">
        <v>8</v>
      </c>
      <c r="D208" s="9">
        <v>1</v>
      </c>
      <c r="E208" s="13">
        <v>12000</v>
      </c>
      <c r="F208" s="13">
        <f t="shared" si="82"/>
        <v>96000</v>
      </c>
      <c r="G208" s="23"/>
    </row>
    <row r="209" spans="2:7" x14ac:dyDescent="0.25">
      <c r="B209" s="45" t="s">
        <v>209</v>
      </c>
      <c r="C209" s="9">
        <v>15</v>
      </c>
      <c r="D209" s="9">
        <v>1</v>
      </c>
      <c r="E209" s="13">
        <v>25000</v>
      </c>
      <c r="F209" s="13">
        <f t="shared" si="82"/>
        <v>375000</v>
      </c>
      <c r="G209" s="23"/>
    </row>
    <row r="210" spans="2:7" x14ac:dyDescent="0.25">
      <c r="B210" s="78" t="s">
        <v>50</v>
      </c>
      <c r="C210" s="78"/>
      <c r="D210" s="78"/>
      <c r="E210" s="78"/>
      <c r="F210" s="78"/>
    </row>
    <row r="211" spans="2:7" x14ac:dyDescent="0.25">
      <c r="B211" s="45" t="s">
        <v>51</v>
      </c>
      <c r="C211" s="9">
        <v>8</v>
      </c>
      <c r="D211" s="9">
        <v>1</v>
      </c>
      <c r="E211" s="13">
        <v>75000</v>
      </c>
      <c r="F211" s="13">
        <f t="shared" ref="F211:F224" si="83">E211*(C211*D211)</f>
        <v>600000</v>
      </c>
    </row>
    <row r="212" spans="2:7" x14ac:dyDescent="0.25">
      <c r="B212" s="45" t="s">
        <v>52</v>
      </c>
      <c r="C212" s="9">
        <v>7</v>
      </c>
      <c r="D212" s="9">
        <v>1</v>
      </c>
      <c r="E212" s="13">
        <v>70000</v>
      </c>
      <c r="F212" s="13">
        <f t="shared" si="83"/>
        <v>490000</v>
      </c>
    </row>
    <row r="213" spans="2:7" x14ac:dyDescent="0.25">
      <c r="B213" s="45" t="s">
        <v>53</v>
      </c>
      <c r="C213" s="9">
        <v>5</v>
      </c>
      <c r="D213" s="9">
        <v>1</v>
      </c>
      <c r="E213" s="13">
        <v>45000</v>
      </c>
      <c r="F213" s="13">
        <f t="shared" si="83"/>
        <v>225000</v>
      </c>
    </row>
    <row r="214" spans="2:7" x14ac:dyDescent="0.25">
      <c r="B214" s="45" t="s">
        <v>54</v>
      </c>
      <c r="C214" s="9">
        <v>5</v>
      </c>
      <c r="D214" s="9">
        <v>1</v>
      </c>
      <c r="E214" s="13">
        <v>30000</v>
      </c>
      <c r="F214" s="13">
        <f t="shared" si="83"/>
        <v>150000</v>
      </c>
    </row>
    <row r="215" spans="2:7" x14ac:dyDescent="0.25">
      <c r="B215" s="45" t="s">
        <v>55</v>
      </c>
      <c r="C215" s="9">
        <v>3</v>
      </c>
      <c r="D215" s="9">
        <v>1</v>
      </c>
      <c r="E215" s="13">
        <v>40000</v>
      </c>
      <c r="F215" s="13">
        <f t="shared" si="83"/>
        <v>120000</v>
      </c>
    </row>
    <row r="216" spans="2:7" x14ac:dyDescent="0.25">
      <c r="B216" s="45" t="s">
        <v>56</v>
      </c>
      <c r="C216" s="9">
        <v>8</v>
      </c>
      <c r="D216" s="9">
        <v>1</v>
      </c>
      <c r="E216" s="13">
        <v>80000</v>
      </c>
      <c r="F216" s="13">
        <f t="shared" si="83"/>
        <v>640000</v>
      </c>
    </row>
    <row r="217" spans="2:7" x14ac:dyDescent="0.25">
      <c r="B217" s="45" t="s">
        <v>57</v>
      </c>
      <c r="C217" s="9">
        <v>7</v>
      </c>
      <c r="D217" s="9">
        <v>1</v>
      </c>
      <c r="E217" s="13">
        <v>85000</v>
      </c>
      <c r="F217" s="13">
        <f t="shared" si="83"/>
        <v>595000</v>
      </c>
    </row>
    <row r="218" spans="2:7" x14ac:dyDescent="0.25">
      <c r="B218" s="45" t="s">
        <v>210</v>
      </c>
      <c r="C218" s="9">
        <v>5</v>
      </c>
      <c r="D218" s="9">
        <v>1</v>
      </c>
      <c r="E218" s="13">
        <v>35000</v>
      </c>
      <c r="F218" s="13">
        <f t="shared" si="83"/>
        <v>175000</v>
      </c>
    </row>
    <row r="219" spans="2:7" x14ac:dyDescent="0.25">
      <c r="B219" s="45" t="s">
        <v>58</v>
      </c>
      <c r="C219" s="9">
        <v>6</v>
      </c>
      <c r="D219" s="9">
        <v>1</v>
      </c>
      <c r="E219" s="13">
        <v>25000</v>
      </c>
      <c r="F219" s="13">
        <f t="shared" si="83"/>
        <v>150000</v>
      </c>
    </row>
    <row r="220" spans="2:7" x14ac:dyDescent="0.25">
      <c r="B220" s="45" t="s">
        <v>60</v>
      </c>
      <c r="C220" s="9">
        <v>4</v>
      </c>
      <c r="D220" s="9">
        <v>1</v>
      </c>
      <c r="E220" s="13">
        <v>15000</v>
      </c>
      <c r="F220" s="13">
        <f t="shared" si="83"/>
        <v>60000</v>
      </c>
    </row>
    <row r="221" spans="2:7" x14ac:dyDescent="0.25">
      <c r="B221" s="45" t="s">
        <v>61</v>
      </c>
      <c r="C221" s="9">
        <v>15</v>
      </c>
      <c r="D221" s="9">
        <v>1</v>
      </c>
      <c r="E221" s="13">
        <v>18000</v>
      </c>
      <c r="F221" s="13">
        <f t="shared" si="83"/>
        <v>270000</v>
      </c>
    </row>
    <row r="222" spans="2:7" x14ac:dyDescent="0.25">
      <c r="B222" s="45" t="s">
        <v>62</v>
      </c>
      <c r="C222" s="9">
        <v>4</v>
      </c>
      <c r="D222" s="9">
        <v>1</v>
      </c>
      <c r="E222" s="13">
        <v>15000</v>
      </c>
      <c r="F222" s="13">
        <f t="shared" si="83"/>
        <v>60000</v>
      </c>
    </row>
    <row r="223" spans="2:7" x14ac:dyDescent="0.25">
      <c r="B223" s="45" t="s">
        <v>206</v>
      </c>
      <c r="C223" s="9">
        <v>10</v>
      </c>
      <c r="D223" s="9">
        <v>1</v>
      </c>
      <c r="E223" s="13">
        <v>50000</v>
      </c>
      <c r="F223" s="13">
        <f t="shared" si="83"/>
        <v>500000</v>
      </c>
    </row>
    <row r="224" spans="2:7" x14ac:dyDescent="0.25">
      <c r="B224" s="45" t="s">
        <v>63</v>
      </c>
      <c r="C224" s="9">
        <v>6</v>
      </c>
      <c r="D224" s="9">
        <v>1</v>
      </c>
      <c r="E224" s="13">
        <v>22000</v>
      </c>
      <c r="F224" s="13">
        <f t="shared" si="83"/>
        <v>132000</v>
      </c>
    </row>
    <row r="225" spans="2:7" x14ac:dyDescent="0.25">
      <c r="B225" s="78" t="s">
        <v>64</v>
      </c>
      <c r="C225" s="78"/>
      <c r="D225" s="78"/>
      <c r="E225" s="78"/>
      <c r="F225" s="78"/>
    </row>
    <row r="226" spans="2:7" x14ac:dyDescent="0.25">
      <c r="B226" s="45" t="s">
        <v>110</v>
      </c>
      <c r="C226" s="9">
        <v>16</v>
      </c>
      <c r="D226" s="9">
        <v>1</v>
      </c>
      <c r="E226" s="13">
        <v>75000</v>
      </c>
      <c r="F226" s="13">
        <f>E226*(C226*D226)</f>
        <v>1200000</v>
      </c>
      <c r="G226" s="23"/>
    </row>
    <row r="227" spans="2:7" x14ac:dyDescent="0.25">
      <c r="B227" s="45" t="s">
        <v>111</v>
      </c>
      <c r="C227" s="9">
        <v>12</v>
      </c>
      <c r="D227" s="9">
        <v>1</v>
      </c>
      <c r="E227" s="13">
        <v>55000</v>
      </c>
      <c r="F227" s="13">
        <f>E227*(C227*D227)</f>
        <v>660000</v>
      </c>
      <c r="G227" s="23"/>
    </row>
    <row r="228" spans="2:7" x14ac:dyDescent="0.25">
      <c r="B228" s="45" t="s">
        <v>112</v>
      </c>
      <c r="C228" s="9">
        <v>10</v>
      </c>
      <c r="D228" s="9">
        <v>1</v>
      </c>
      <c r="E228" s="13">
        <v>45000</v>
      </c>
      <c r="F228" s="13">
        <f t="shared" ref="F228:F244" si="84">E228*(C228*D228)</f>
        <v>450000</v>
      </c>
      <c r="G228" s="23"/>
    </row>
    <row r="229" spans="2:7" x14ac:dyDescent="0.25">
      <c r="B229" s="45" t="s">
        <v>113</v>
      </c>
      <c r="C229" s="9">
        <v>10</v>
      </c>
      <c r="D229" s="9">
        <v>1</v>
      </c>
      <c r="E229" s="13">
        <v>50000</v>
      </c>
      <c r="F229" s="13">
        <f t="shared" si="84"/>
        <v>500000</v>
      </c>
      <c r="G229" s="23"/>
    </row>
    <row r="230" spans="2:7" x14ac:dyDescent="0.25">
      <c r="B230" s="45" t="s">
        <v>115</v>
      </c>
      <c r="C230" s="9">
        <v>10</v>
      </c>
      <c r="D230" s="9">
        <v>1</v>
      </c>
      <c r="E230" s="13">
        <v>45000</v>
      </c>
      <c r="F230" s="13">
        <f t="shared" si="84"/>
        <v>450000</v>
      </c>
      <c r="G230" s="23"/>
    </row>
    <row r="231" spans="2:7" x14ac:dyDescent="0.25">
      <c r="B231" s="45" t="s">
        <v>114</v>
      </c>
      <c r="C231" s="9">
        <v>9</v>
      </c>
      <c r="D231" s="9">
        <v>1</v>
      </c>
      <c r="E231" s="13">
        <v>35000</v>
      </c>
      <c r="F231" s="13">
        <f t="shared" si="84"/>
        <v>315000</v>
      </c>
      <c r="G231" s="23"/>
    </row>
    <row r="232" spans="2:7" x14ac:dyDescent="0.25">
      <c r="B232" s="45" t="s">
        <v>116</v>
      </c>
      <c r="C232" s="9">
        <v>10</v>
      </c>
      <c r="D232" s="9">
        <v>1</v>
      </c>
      <c r="E232" s="13">
        <v>30000</v>
      </c>
      <c r="F232" s="13">
        <f t="shared" si="84"/>
        <v>300000</v>
      </c>
      <c r="G232" s="23"/>
    </row>
    <row r="233" spans="2:7" x14ac:dyDescent="0.25">
      <c r="B233" s="45" t="s">
        <v>207</v>
      </c>
      <c r="C233" s="9">
        <v>8</v>
      </c>
      <c r="D233" s="9">
        <v>1</v>
      </c>
      <c r="E233" s="13">
        <v>35000</v>
      </c>
      <c r="F233" s="13">
        <f t="shared" si="84"/>
        <v>280000</v>
      </c>
      <c r="G233" s="23"/>
    </row>
    <row r="234" spans="2:7" x14ac:dyDescent="0.25">
      <c r="B234" s="45" t="s">
        <v>117</v>
      </c>
      <c r="C234" s="9">
        <v>10</v>
      </c>
      <c r="D234" s="9">
        <v>1</v>
      </c>
      <c r="E234" s="13">
        <v>90000</v>
      </c>
      <c r="F234" s="13">
        <f t="shared" si="84"/>
        <v>900000</v>
      </c>
      <c r="G234" s="23"/>
    </row>
    <row r="235" spans="2:7" x14ac:dyDescent="0.25">
      <c r="B235" s="45" t="s">
        <v>118</v>
      </c>
      <c r="C235" s="9">
        <v>8</v>
      </c>
      <c r="D235" s="9">
        <v>1</v>
      </c>
      <c r="E235" s="13">
        <v>85000</v>
      </c>
      <c r="F235" s="13">
        <f t="shared" si="84"/>
        <v>680000</v>
      </c>
      <c r="G235" s="23"/>
    </row>
    <row r="236" spans="2:7" x14ac:dyDescent="0.25">
      <c r="B236" s="45" t="s">
        <v>119</v>
      </c>
      <c r="C236" s="9">
        <v>8</v>
      </c>
      <c r="D236" s="9">
        <v>1</v>
      </c>
      <c r="E236" s="13">
        <v>45000</v>
      </c>
      <c r="F236" s="13">
        <f t="shared" si="84"/>
        <v>360000</v>
      </c>
      <c r="G236" s="23"/>
    </row>
    <row r="237" spans="2:7" x14ac:dyDescent="0.25">
      <c r="B237" s="45" t="s">
        <v>120</v>
      </c>
      <c r="C237" s="9">
        <v>7</v>
      </c>
      <c r="D237" s="9">
        <v>1</v>
      </c>
      <c r="E237" s="13">
        <v>125000</v>
      </c>
      <c r="F237" s="13">
        <f t="shared" si="84"/>
        <v>875000</v>
      </c>
      <c r="G237" s="23"/>
    </row>
    <row r="238" spans="2:7" x14ac:dyDescent="0.25">
      <c r="B238" s="45" t="s">
        <v>121</v>
      </c>
      <c r="C238" s="9">
        <v>8</v>
      </c>
      <c r="D238" s="9">
        <v>1</v>
      </c>
      <c r="E238" s="13">
        <v>55000</v>
      </c>
      <c r="F238" s="13">
        <f t="shared" si="84"/>
        <v>440000</v>
      </c>
      <c r="G238" s="23"/>
    </row>
    <row r="239" spans="2:7" x14ac:dyDescent="0.25">
      <c r="B239" s="45" t="s">
        <v>122</v>
      </c>
      <c r="C239" s="9">
        <v>11</v>
      </c>
      <c r="D239" s="9">
        <v>1</v>
      </c>
      <c r="E239" s="13">
        <v>40000</v>
      </c>
      <c r="F239" s="13">
        <f t="shared" si="84"/>
        <v>440000</v>
      </c>
      <c r="G239" s="23"/>
    </row>
    <row r="240" spans="2:7" x14ac:dyDescent="0.25">
      <c r="B240" s="45" t="s">
        <v>123</v>
      </c>
      <c r="C240" s="9">
        <v>15</v>
      </c>
      <c r="D240" s="9">
        <v>1</v>
      </c>
      <c r="E240" s="13">
        <v>30000</v>
      </c>
      <c r="F240" s="13">
        <f t="shared" si="84"/>
        <v>450000</v>
      </c>
      <c r="G240" s="23"/>
    </row>
    <row r="241" spans="2:7" x14ac:dyDescent="0.25">
      <c r="B241" s="45" t="s">
        <v>48</v>
      </c>
      <c r="C241" s="9">
        <v>12</v>
      </c>
      <c r="D241" s="9">
        <v>1</v>
      </c>
      <c r="E241" s="13">
        <v>350000</v>
      </c>
      <c r="F241" s="13">
        <f t="shared" si="84"/>
        <v>4200000</v>
      </c>
      <c r="G241" s="23"/>
    </row>
    <row r="242" spans="2:7" x14ac:dyDescent="0.25">
      <c r="B242" s="45" t="s">
        <v>124</v>
      </c>
      <c r="C242" s="9">
        <v>6</v>
      </c>
      <c r="D242" s="9">
        <v>1</v>
      </c>
      <c r="E242" s="13">
        <v>60000</v>
      </c>
      <c r="F242" s="13">
        <f t="shared" si="84"/>
        <v>360000</v>
      </c>
      <c r="G242" s="23"/>
    </row>
    <row r="243" spans="2:7" x14ac:dyDescent="0.25">
      <c r="B243" s="45" t="s">
        <v>49</v>
      </c>
      <c r="C243" s="9">
        <v>10</v>
      </c>
      <c r="D243" s="9">
        <v>1</v>
      </c>
      <c r="E243" s="13">
        <v>70000</v>
      </c>
      <c r="F243" s="13">
        <f t="shared" si="84"/>
        <v>700000</v>
      </c>
      <c r="G243" s="23"/>
    </row>
    <row r="244" spans="2:7" x14ac:dyDescent="0.25">
      <c r="B244" s="166" t="s">
        <v>215</v>
      </c>
      <c r="C244" s="167">
        <v>15</v>
      </c>
      <c r="D244" s="167">
        <v>1</v>
      </c>
      <c r="E244" s="168">
        <v>150000</v>
      </c>
      <c r="F244" s="169">
        <f t="shared" si="84"/>
        <v>2250000</v>
      </c>
      <c r="G244" s="23"/>
    </row>
    <row r="245" spans="2:7" x14ac:dyDescent="0.25">
      <c r="B245" s="70" t="s">
        <v>66</v>
      </c>
      <c r="C245" s="71"/>
      <c r="D245" s="71"/>
      <c r="E245" s="71"/>
      <c r="F245" s="72"/>
      <c r="G245" s="23"/>
    </row>
    <row r="246" spans="2:7" x14ac:dyDescent="0.25">
      <c r="B246" s="45" t="s">
        <v>67</v>
      </c>
      <c r="C246" s="9">
        <v>25</v>
      </c>
      <c r="D246" s="9">
        <v>2</v>
      </c>
      <c r="E246" s="13">
        <v>40000</v>
      </c>
      <c r="F246" s="13">
        <f>E246*(C246*D246)</f>
        <v>2000000</v>
      </c>
      <c r="G246" s="23"/>
    </row>
    <row r="247" spans="2:7" x14ac:dyDescent="0.25">
      <c r="B247" s="48" t="s">
        <v>6</v>
      </c>
      <c r="C247" s="24"/>
      <c r="D247" s="24"/>
      <c r="E247" s="24"/>
      <c r="F247" s="50">
        <f>SUM(F204:F246)</f>
        <v>23728000</v>
      </c>
      <c r="G247" s="23"/>
    </row>
    <row r="248" spans="2:7" x14ac:dyDescent="0.25">
      <c r="C248" s="23"/>
      <c r="D248" s="23"/>
      <c r="E248" s="23"/>
      <c r="F248" s="23"/>
      <c r="G248" s="23"/>
    </row>
    <row r="249" spans="2:7" x14ac:dyDescent="0.25">
      <c r="C249" s="23"/>
      <c r="D249" s="23"/>
      <c r="E249" s="23"/>
      <c r="F249" s="23"/>
      <c r="G249" s="23"/>
    </row>
    <row r="250" spans="2:7" x14ac:dyDescent="0.25">
      <c r="B250" s="2" t="s">
        <v>68</v>
      </c>
      <c r="C250" s="13">
        <f>F247</f>
        <v>23728000</v>
      </c>
      <c r="D250" s="23"/>
      <c r="E250" s="23"/>
      <c r="F250" s="23"/>
      <c r="G250" s="23"/>
    </row>
    <row r="251" spans="2:7" x14ac:dyDescent="0.25">
      <c r="B251" s="2" t="s">
        <v>69</v>
      </c>
      <c r="C251" s="13">
        <f>C250*12</f>
        <v>284736000</v>
      </c>
      <c r="D251" s="23"/>
      <c r="E251" s="23"/>
      <c r="F251" s="23"/>
      <c r="G251" s="23"/>
    </row>
    <row r="252" spans="2:7" x14ac:dyDescent="0.25">
      <c r="C252" s="23"/>
      <c r="D252" s="23"/>
      <c r="E252" s="23"/>
      <c r="F252" s="23"/>
      <c r="G252" s="23"/>
    </row>
    <row r="253" spans="2:7" x14ac:dyDescent="0.25">
      <c r="C253" s="23"/>
      <c r="D253" s="23"/>
      <c r="E253" s="23"/>
      <c r="F253" s="23"/>
      <c r="G253" s="23"/>
    </row>
    <row r="254" spans="2:7" x14ac:dyDescent="0.25">
      <c r="B254" s="51" t="s">
        <v>160</v>
      </c>
      <c r="C254" s="52" t="s">
        <v>21</v>
      </c>
      <c r="D254" s="52" t="s">
        <v>22</v>
      </c>
      <c r="E254" s="52" t="s">
        <v>23</v>
      </c>
      <c r="F254" s="52" t="s">
        <v>24</v>
      </c>
      <c r="G254" s="52" t="s">
        <v>25</v>
      </c>
    </row>
    <row r="255" spans="2:7" x14ac:dyDescent="0.25">
      <c r="B255" s="3" t="s">
        <v>70</v>
      </c>
      <c r="C255" s="14">
        <f>C251</f>
        <v>284736000</v>
      </c>
      <c r="D255" s="14">
        <f>C255</f>
        <v>284736000</v>
      </c>
      <c r="E255" s="14">
        <f>D257</f>
        <v>327446400</v>
      </c>
      <c r="F255" s="14">
        <f>E257</f>
        <v>386386752</v>
      </c>
      <c r="G255" s="14">
        <f>F257</f>
        <v>463664102.39999998</v>
      </c>
    </row>
    <row r="256" spans="2:7" x14ac:dyDescent="0.25">
      <c r="B256" s="3" t="s">
        <v>71</v>
      </c>
      <c r="C256" s="9"/>
      <c r="D256" s="11">
        <v>0.15</v>
      </c>
      <c r="E256" s="11">
        <v>0.18</v>
      </c>
      <c r="F256" s="11">
        <v>0.2</v>
      </c>
      <c r="G256" s="11">
        <v>0.25</v>
      </c>
    </row>
    <row r="257" spans="2:7" x14ac:dyDescent="0.25">
      <c r="B257" s="51" t="s">
        <v>157</v>
      </c>
      <c r="C257" s="53">
        <f>C255</f>
        <v>284736000</v>
      </c>
      <c r="D257" s="53">
        <f>D255*(100%+D256)</f>
        <v>327446400</v>
      </c>
      <c r="E257" s="53">
        <f t="shared" ref="E257:G257" si="85">E255*(100%+E256)</f>
        <v>386386752</v>
      </c>
      <c r="F257" s="53">
        <f t="shared" si="85"/>
        <v>463664102.39999998</v>
      </c>
      <c r="G257" s="53">
        <f t="shared" si="85"/>
        <v>579580128</v>
      </c>
    </row>
    <row r="258" spans="2:7" x14ac:dyDescent="0.25">
      <c r="B258" s="40"/>
      <c r="C258" s="41"/>
      <c r="D258" s="41"/>
      <c r="E258" s="41"/>
      <c r="F258" s="41"/>
      <c r="G258" s="41"/>
    </row>
    <row r="259" spans="2:7" x14ac:dyDescent="0.25">
      <c r="C259" s="23"/>
      <c r="D259" s="23"/>
      <c r="E259" s="23"/>
      <c r="F259" s="23"/>
      <c r="G259" s="23"/>
    </row>
    <row r="260" spans="2:7" x14ac:dyDescent="0.25">
      <c r="B260" s="6" t="s">
        <v>72</v>
      </c>
      <c r="C260" s="14">
        <v>2500000</v>
      </c>
      <c r="D260" s="23"/>
      <c r="E260" s="23"/>
      <c r="F260" s="23"/>
      <c r="G260" s="23"/>
    </row>
    <row r="261" spans="2:7" x14ac:dyDescent="0.25">
      <c r="B261" s="6" t="s">
        <v>73</v>
      </c>
      <c r="C261" s="13">
        <f>C260*12</f>
        <v>30000000</v>
      </c>
      <c r="D261" s="23"/>
      <c r="E261" s="23"/>
      <c r="F261" s="23"/>
      <c r="G261" s="23"/>
    </row>
    <row r="262" spans="2:7" x14ac:dyDescent="0.25">
      <c r="B262" s="49"/>
      <c r="C262" s="42"/>
      <c r="D262" s="23"/>
      <c r="E262" s="23"/>
      <c r="F262" s="23"/>
      <c r="G262" s="23"/>
    </row>
    <row r="263" spans="2:7" x14ac:dyDescent="0.25">
      <c r="B263" s="40"/>
      <c r="C263" s="23"/>
      <c r="D263" s="23"/>
      <c r="E263" s="23"/>
      <c r="F263" s="23"/>
      <c r="G263" s="23"/>
    </row>
    <row r="264" spans="2:7" x14ac:dyDescent="0.25">
      <c r="B264" s="73" t="s">
        <v>159</v>
      </c>
      <c r="C264" s="74"/>
      <c r="D264" s="74"/>
      <c r="E264" s="74"/>
      <c r="F264" s="74"/>
      <c r="G264" s="75"/>
    </row>
    <row r="265" spans="2:7" x14ac:dyDescent="0.25">
      <c r="B265" s="46" t="s">
        <v>74</v>
      </c>
      <c r="C265" s="34" t="s">
        <v>21</v>
      </c>
      <c r="D265" s="34" t="s">
        <v>22</v>
      </c>
      <c r="E265" s="34" t="s">
        <v>23</v>
      </c>
      <c r="F265" s="34" t="s">
        <v>26</v>
      </c>
      <c r="G265" s="34" t="s">
        <v>25</v>
      </c>
    </row>
    <row r="266" spans="2:7" x14ac:dyDescent="0.25">
      <c r="B266" s="6" t="s">
        <v>74</v>
      </c>
      <c r="C266" s="14">
        <f>C261</f>
        <v>30000000</v>
      </c>
      <c r="D266" s="14">
        <f>C266</f>
        <v>30000000</v>
      </c>
      <c r="E266" s="14">
        <f>D268</f>
        <v>33000000.000000004</v>
      </c>
      <c r="F266" s="14">
        <f>E268</f>
        <v>37950000</v>
      </c>
      <c r="G266" s="14">
        <f>F268</f>
        <v>44401500</v>
      </c>
    </row>
    <row r="267" spans="2:7" x14ac:dyDescent="0.25">
      <c r="B267" s="6" t="s">
        <v>75</v>
      </c>
      <c r="C267" s="9"/>
      <c r="D267" s="11">
        <v>0.1</v>
      </c>
      <c r="E267" s="11">
        <v>0.15</v>
      </c>
      <c r="F267" s="11">
        <v>0.17</v>
      </c>
      <c r="G267" s="11">
        <v>0.2</v>
      </c>
    </row>
    <row r="268" spans="2:7" x14ac:dyDescent="0.25">
      <c r="B268" s="46" t="s">
        <v>156</v>
      </c>
      <c r="C268" s="47">
        <f>C266</f>
        <v>30000000</v>
      </c>
      <c r="D268" s="47">
        <f>D266*(100%+D267)</f>
        <v>33000000.000000004</v>
      </c>
      <c r="E268" s="47">
        <f t="shared" ref="E268:G268" si="86">E266*(100%+E267)</f>
        <v>37950000</v>
      </c>
      <c r="F268" s="47">
        <f t="shared" si="86"/>
        <v>44401500</v>
      </c>
      <c r="G268" s="47">
        <f t="shared" si="86"/>
        <v>53281800</v>
      </c>
    </row>
    <row r="269" spans="2:7" x14ac:dyDescent="0.25">
      <c r="B269" s="49"/>
      <c r="C269" s="42"/>
      <c r="D269" s="42"/>
      <c r="E269" s="42"/>
      <c r="F269" s="42"/>
      <c r="G269" s="42"/>
    </row>
    <row r="270" spans="2:7" x14ac:dyDescent="0.25">
      <c r="C270" s="23"/>
      <c r="D270" s="23"/>
      <c r="E270" s="23"/>
      <c r="F270" s="23"/>
      <c r="G270" s="23"/>
    </row>
    <row r="271" spans="2:7" x14ac:dyDescent="0.25">
      <c r="B271" s="6" t="s">
        <v>76</v>
      </c>
      <c r="C271" s="14">
        <v>2200000</v>
      </c>
      <c r="D271" s="23"/>
      <c r="E271" s="23"/>
      <c r="F271" s="23"/>
      <c r="G271" s="23"/>
    </row>
    <row r="272" spans="2:7" x14ac:dyDescent="0.25">
      <c r="B272" s="6" t="s">
        <v>77</v>
      </c>
      <c r="C272" s="13">
        <f>C271*12</f>
        <v>26400000</v>
      </c>
      <c r="D272" s="23"/>
      <c r="E272" s="23"/>
      <c r="F272" s="23"/>
      <c r="G272" s="23"/>
    </row>
    <row r="273" spans="2:7" x14ac:dyDescent="0.25">
      <c r="B273" s="49"/>
      <c r="C273" s="42"/>
      <c r="D273" s="23"/>
      <c r="E273" s="23"/>
      <c r="F273" s="23"/>
      <c r="G273" s="23"/>
    </row>
    <row r="274" spans="2:7" x14ac:dyDescent="0.25">
      <c r="C274" s="23"/>
      <c r="D274" s="23"/>
      <c r="E274" s="23"/>
      <c r="F274" s="23"/>
      <c r="G274" s="23"/>
    </row>
    <row r="275" spans="2:7" x14ac:dyDescent="0.25">
      <c r="B275" s="76" t="s">
        <v>161</v>
      </c>
      <c r="C275" s="76"/>
      <c r="D275" s="76"/>
      <c r="E275" s="76"/>
      <c r="F275" s="76"/>
      <c r="G275" s="76"/>
    </row>
    <row r="276" spans="2:7" x14ac:dyDescent="0.25">
      <c r="B276" s="54" t="s">
        <v>78</v>
      </c>
      <c r="C276" s="55" t="s">
        <v>21</v>
      </c>
      <c r="D276" s="55" t="s">
        <v>22</v>
      </c>
      <c r="E276" s="55" t="s">
        <v>23</v>
      </c>
      <c r="F276" s="55" t="s">
        <v>26</v>
      </c>
      <c r="G276" s="55" t="s">
        <v>25</v>
      </c>
    </row>
    <row r="277" spans="2:7" x14ac:dyDescent="0.25">
      <c r="B277" s="6" t="s">
        <v>78</v>
      </c>
      <c r="C277" s="14">
        <f>C272</f>
        <v>26400000</v>
      </c>
      <c r="D277" s="14">
        <f>C277</f>
        <v>26400000</v>
      </c>
      <c r="E277" s="14">
        <f>D279</f>
        <v>30359999.999999996</v>
      </c>
      <c r="F277" s="14">
        <f>E279</f>
        <v>35824799.999999993</v>
      </c>
      <c r="G277" s="14">
        <f>F279</f>
        <v>42989759.999999993</v>
      </c>
    </row>
    <row r="278" spans="2:7" x14ac:dyDescent="0.25">
      <c r="B278" s="6" t="s">
        <v>79</v>
      </c>
      <c r="C278" s="9"/>
      <c r="D278" s="11">
        <v>0.15</v>
      </c>
      <c r="E278" s="11">
        <v>0.18</v>
      </c>
      <c r="F278" s="11">
        <v>0.2</v>
      </c>
      <c r="G278" s="11">
        <v>0.25</v>
      </c>
    </row>
    <row r="279" spans="2:7" x14ac:dyDescent="0.25">
      <c r="B279" s="54" t="s">
        <v>158</v>
      </c>
      <c r="C279" s="56">
        <f>C277</f>
        <v>26400000</v>
      </c>
      <c r="D279" s="56">
        <f>D277*(100%+D278)</f>
        <v>30359999.999999996</v>
      </c>
      <c r="E279" s="56">
        <f t="shared" ref="E279:G279" si="87">E277*(100%+E278)</f>
        <v>35824799.999999993</v>
      </c>
      <c r="F279" s="56">
        <f t="shared" si="87"/>
        <v>42989759.999999993</v>
      </c>
      <c r="G279" s="56">
        <f t="shared" si="87"/>
        <v>53737199.999999993</v>
      </c>
    </row>
    <row r="280" spans="2:7" x14ac:dyDescent="0.25">
      <c r="C280" s="23"/>
      <c r="D280" s="23"/>
      <c r="E280" s="23"/>
      <c r="F280" s="23"/>
      <c r="G280" s="23"/>
    </row>
    <row r="281" spans="2:7" x14ac:dyDescent="0.25">
      <c r="C281" s="23"/>
      <c r="D281" s="23"/>
      <c r="E281" s="23"/>
      <c r="F281" s="23"/>
      <c r="G281" s="23"/>
    </row>
    <row r="282" spans="2:7" x14ac:dyDescent="0.25">
      <c r="B282" s="3"/>
      <c r="C282" s="1" t="s">
        <v>80</v>
      </c>
      <c r="D282" s="1" t="s">
        <v>3</v>
      </c>
      <c r="E282" s="1" t="s">
        <v>13</v>
      </c>
      <c r="F282" s="23"/>
      <c r="G282" s="23"/>
    </row>
    <row r="283" spans="2:7" x14ac:dyDescent="0.25">
      <c r="B283" s="6" t="s">
        <v>81</v>
      </c>
      <c r="C283" s="14">
        <f>E283*D283</f>
        <v>1000000</v>
      </c>
      <c r="D283" s="9">
        <v>50</v>
      </c>
      <c r="E283" s="13">
        <v>20000</v>
      </c>
      <c r="F283" s="23"/>
      <c r="G283" s="23"/>
    </row>
    <row r="284" spans="2:7" x14ac:dyDescent="0.25">
      <c r="B284" s="6" t="s">
        <v>82</v>
      </c>
      <c r="C284" s="13">
        <f>C283*12</f>
        <v>12000000</v>
      </c>
      <c r="D284" s="9">
        <f>D283*12</f>
        <v>600</v>
      </c>
      <c r="E284" s="13">
        <v>20000</v>
      </c>
      <c r="F284" s="23"/>
      <c r="G284" s="23"/>
    </row>
    <row r="285" spans="2:7" x14ac:dyDescent="0.25">
      <c r="C285" s="23"/>
      <c r="D285" s="23"/>
      <c r="E285" s="23"/>
      <c r="F285" s="23"/>
      <c r="G285" s="23"/>
    </row>
    <row r="286" spans="2:7" x14ac:dyDescent="0.25">
      <c r="B286" s="73" t="s">
        <v>162</v>
      </c>
      <c r="C286" s="74"/>
      <c r="D286" s="74"/>
      <c r="E286" s="74"/>
      <c r="F286" s="74"/>
      <c r="G286" s="75"/>
    </row>
    <row r="287" spans="2:7" x14ac:dyDescent="0.25">
      <c r="B287" s="57" t="s">
        <v>83</v>
      </c>
      <c r="C287" s="32" t="s">
        <v>21</v>
      </c>
      <c r="D287" s="32" t="s">
        <v>22</v>
      </c>
      <c r="E287" s="32" t="s">
        <v>23</v>
      </c>
      <c r="F287" s="32" t="s">
        <v>26</v>
      </c>
      <c r="G287" s="32" t="s">
        <v>25</v>
      </c>
    </row>
    <row r="288" spans="2:7" x14ac:dyDescent="0.25">
      <c r="B288" s="6" t="s">
        <v>84</v>
      </c>
      <c r="C288" s="14">
        <v>20000</v>
      </c>
      <c r="D288" s="14">
        <v>20000</v>
      </c>
      <c r="E288" s="14">
        <v>20000</v>
      </c>
      <c r="F288" s="14">
        <v>20000</v>
      </c>
      <c r="G288" s="14">
        <v>20000</v>
      </c>
    </row>
    <row r="289" spans="2:7" x14ac:dyDescent="0.25">
      <c r="B289" s="6" t="s">
        <v>85</v>
      </c>
      <c r="C289" s="9">
        <f>D284</f>
        <v>600</v>
      </c>
      <c r="D289" s="9">
        <f>C289+10</f>
        <v>610</v>
      </c>
      <c r="E289" s="9">
        <f>D289+15</f>
        <v>625</v>
      </c>
      <c r="F289" s="9">
        <f>E289+17</f>
        <v>642</v>
      </c>
      <c r="G289" s="9">
        <f>F289+20</f>
        <v>662</v>
      </c>
    </row>
    <row r="290" spans="2:7" x14ac:dyDescent="0.25">
      <c r="B290" s="57" t="s">
        <v>163</v>
      </c>
      <c r="C290" s="44">
        <f>C289*C288</f>
        <v>12000000</v>
      </c>
      <c r="D290" s="44">
        <f>D289*D288</f>
        <v>12200000</v>
      </c>
      <c r="E290" s="44">
        <f>E289*E288</f>
        <v>12500000</v>
      </c>
      <c r="F290" s="44">
        <f>F289*F288</f>
        <v>12840000</v>
      </c>
      <c r="G290" s="44">
        <f>G289*G288</f>
        <v>13240000</v>
      </c>
    </row>
    <row r="293" spans="2:7" x14ac:dyDescent="0.25">
      <c r="B293" s="58"/>
      <c r="C293" s="59"/>
      <c r="D293" s="58"/>
      <c r="E293" s="60"/>
    </row>
    <row r="294" spans="2:7" x14ac:dyDescent="0.25">
      <c r="B294" s="58"/>
      <c r="C294" s="59"/>
      <c r="D294" s="58"/>
      <c r="E294" s="60"/>
    </row>
    <row r="295" spans="2:7" x14ac:dyDescent="0.25">
      <c r="B295" s="58"/>
      <c r="C295" s="59"/>
      <c r="D295" s="58"/>
      <c r="E295" s="60"/>
    </row>
  </sheetData>
  <mergeCells count="22">
    <mergeCell ref="B158:G158"/>
    <mergeCell ref="B134:G134"/>
    <mergeCell ref="B139:G139"/>
    <mergeCell ref="B147:G147"/>
    <mergeCell ref="B148:G148"/>
    <mergeCell ref="B153:G153"/>
    <mergeCell ref="B245:F245"/>
    <mergeCell ref="B264:G264"/>
    <mergeCell ref="B275:G275"/>
    <mergeCell ref="B286:G286"/>
    <mergeCell ref="B2:G2"/>
    <mergeCell ref="B210:F210"/>
    <mergeCell ref="B225:F225"/>
    <mergeCell ref="B165:G165"/>
    <mergeCell ref="B183:D183"/>
    <mergeCell ref="B202:F202"/>
    <mergeCell ref="B109:G109"/>
    <mergeCell ref="B110:G110"/>
    <mergeCell ref="B115:G115"/>
    <mergeCell ref="B120:G120"/>
    <mergeCell ref="B128:G128"/>
    <mergeCell ref="B129:G1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465E-D86D-45D9-B3D3-008024FBAA55}">
  <dimension ref="B3:F62"/>
  <sheetViews>
    <sheetView zoomScale="90" zoomScaleNormal="90" workbookViewId="0">
      <selection activeCell="F38" sqref="F38"/>
    </sheetView>
  </sheetViews>
  <sheetFormatPr defaultRowHeight="15.75" x14ac:dyDescent="0.25"/>
  <cols>
    <col min="1" max="1" width="9.140625" style="137"/>
    <col min="2" max="2" width="22.5703125" style="137" bestFit="1" customWidth="1"/>
    <col min="3" max="5" width="19.42578125" style="137" bestFit="1" customWidth="1"/>
    <col min="6" max="6" width="11.140625" style="137" customWidth="1"/>
    <col min="7" max="16384" width="9.140625" style="137"/>
  </cols>
  <sheetData>
    <row r="3" spans="2:6" x14ac:dyDescent="0.25">
      <c r="B3" s="156" t="s">
        <v>146</v>
      </c>
      <c r="C3" s="156"/>
    </row>
    <row r="4" spans="2:6" x14ac:dyDescent="0.25">
      <c r="B4" s="142" t="s">
        <v>147</v>
      </c>
      <c r="C4" s="143">
        <f>Sheet1!C14</f>
        <v>148510000</v>
      </c>
    </row>
    <row r="5" spans="2:6" x14ac:dyDescent="0.25">
      <c r="B5" s="142" t="s">
        <v>148</v>
      </c>
      <c r="C5" s="143">
        <f>Sheet1!C15</f>
        <v>40000000</v>
      </c>
    </row>
    <row r="6" spans="2:6" x14ac:dyDescent="0.25">
      <c r="B6" s="142" t="s">
        <v>149</v>
      </c>
      <c r="C6" s="143">
        <f>Sheet1!C16</f>
        <v>325000</v>
      </c>
    </row>
    <row r="7" spans="2:6" x14ac:dyDescent="0.25">
      <c r="B7" s="142" t="s">
        <v>150</v>
      </c>
      <c r="C7" s="143">
        <f>Sheet1!C17</f>
        <v>750000</v>
      </c>
    </row>
    <row r="8" spans="2:6" x14ac:dyDescent="0.25">
      <c r="B8" s="142" t="s">
        <v>152</v>
      </c>
      <c r="C8" s="143">
        <f>Sheet1!C18</f>
        <v>1000000</v>
      </c>
    </row>
    <row r="9" spans="2:6" x14ac:dyDescent="0.25">
      <c r="B9" s="28" t="s">
        <v>6</v>
      </c>
      <c r="C9" s="157">
        <f>SUM(C4:C8)</f>
        <v>190585000</v>
      </c>
    </row>
    <row r="12" spans="2:6" x14ac:dyDescent="0.25">
      <c r="B12" s="158" t="s">
        <v>178</v>
      </c>
      <c r="C12" s="158" t="s">
        <v>179</v>
      </c>
    </row>
    <row r="13" spans="2:6" x14ac:dyDescent="0.25">
      <c r="B13" s="82">
        <v>1</v>
      </c>
      <c r="C13" s="143">
        <f>Sheet1!D10</f>
        <v>467412000</v>
      </c>
      <c r="F13" s="138"/>
    </row>
    <row r="14" spans="2:6" x14ac:dyDescent="0.25">
      <c r="B14" s="82">
        <v>2</v>
      </c>
      <c r="C14" s="143">
        <f>Sheet1!E10</f>
        <v>761526600</v>
      </c>
      <c r="F14" s="139"/>
    </row>
    <row r="15" spans="2:6" x14ac:dyDescent="0.25">
      <c r="B15" s="82">
        <v>3</v>
      </c>
      <c r="C15" s="143">
        <f>Sheet1!F10</f>
        <v>1100799648</v>
      </c>
      <c r="F15" s="139"/>
    </row>
    <row r="16" spans="2:6" x14ac:dyDescent="0.25">
      <c r="B16" s="82">
        <v>4</v>
      </c>
      <c r="C16" s="143">
        <f>Sheet1!G10</f>
        <v>1434472053.5999999</v>
      </c>
    </row>
    <row r="17" spans="2:5" x14ac:dyDescent="0.25">
      <c r="B17" s="82">
        <v>5</v>
      </c>
      <c r="C17" s="143">
        <f>Sheet1!H10</f>
        <v>1872558700.4000001</v>
      </c>
    </row>
    <row r="18" spans="2:5" x14ac:dyDescent="0.25">
      <c r="B18" s="140"/>
    </row>
    <row r="19" spans="2:5" x14ac:dyDescent="0.25">
      <c r="B19" s="159" t="s">
        <v>180</v>
      </c>
      <c r="C19" s="160">
        <v>0.2</v>
      </c>
    </row>
    <row r="21" spans="2:5" x14ac:dyDescent="0.25">
      <c r="B21" s="141" t="s">
        <v>181</v>
      </c>
      <c r="C21" s="141"/>
    </row>
    <row r="22" spans="2:5" x14ac:dyDescent="0.25">
      <c r="B22" s="142" t="s">
        <v>182</v>
      </c>
      <c r="C22" s="82" t="s">
        <v>183</v>
      </c>
    </row>
    <row r="23" spans="2:5" x14ac:dyDescent="0.25">
      <c r="B23" s="142" t="s">
        <v>184</v>
      </c>
      <c r="C23" s="82" t="s">
        <v>185</v>
      </c>
    </row>
    <row r="24" spans="2:5" x14ac:dyDescent="0.25">
      <c r="B24" s="142" t="s">
        <v>186</v>
      </c>
      <c r="C24" s="82" t="s">
        <v>187</v>
      </c>
    </row>
    <row r="26" spans="2:5" x14ac:dyDescent="0.25">
      <c r="B26" s="99" t="s">
        <v>188</v>
      </c>
      <c r="C26" s="100"/>
      <c r="D26" s="100"/>
      <c r="E26" s="147"/>
    </row>
    <row r="27" spans="2:5" x14ac:dyDescent="0.25">
      <c r="B27" s="26" t="s">
        <v>178</v>
      </c>
      <c r="C27" s="26" t="s">
        <v>189</v>
      </c>
      <c r="D27" s="26" t="s">
        <v>190</v>
      </c>
    </row>
    <row r="28" spans="2:5" x14ac:dyDescent="0.25">
      <c r="B28" s="82">
        <v>0</v>
      </c>
      <c r="C28" s="151">
        <f>-C9</f>
        <v>-190585000</v>
      </c>
      <c r="D28" s="148">
        <f>PV($C$19,B28,,-C28,)</f>
        <v>-190585000</v>
      </c>
    </row>
    <row r="29" spans="2:5" x14ac:dyDescent="0.25">
      <c r="B29" s="82">
        <v>1</v>
      </c>
      <c r="C29" s="152">
        <f>C13</f>
        <v>467412000</v>
      </c>
      <c r="D29" s="149">
        <f>PV($C$19,B29,,-C29,)</f>
        <v>389510000</v>
      </c>
    </row>
    <row r="30" spans="2:5" x14ac:dyDescent="0.25">
      <c r="B30" s="82">
        <v>2</v>
      </c>
      <c r="C30" s="152">
        <f>C14</f>
        <v>761526600</v>
      </c>
      <c r="D30" s="149">
        <f>PV($C$19,B30,,-C30,)</f>
        <v>528837916.66666669</v>
      </c>
    </row>
    <row r="31" spans="2:5" x14ac:dyDescent="0.25">
      <c r="B31" s="82">
        <v>3</v>
      </c>
      <c r="C31" s="152">
        <f>C15</f>
        <v>1100799648</v>
      </c>
      <c r="D31" s="149">
        <f>PV($C$19,B31,,-C31,)</f>
        <v>637036833.33333337</v>
      </c>
    </row>
    <row r="32" spans="2:5" x14ac:dyDescent="0.25">
      <c r="B32" s="82">
        <v>4</v>
      </c>
      <c r="C32" s="152">
        <f>C16</f>
        <v>1434472053.5999999</v>
      </c>
      <c r="D32" s="149">
        <f>PV($C$19,B32,,-C32,)</f>
        <v>691778575.23148143</v>
      </c>
    </row>
    <row r="33" spans="2:5" x14ac:dyDescent="0.25">
      <c r="B33" s="82">
        <v>5</v>
      </c>
      <c r="C33" s="152">
        <f>C17</f>
        <v>1872558700.4000001</v>
      </c>
      <c r="D33" s="149">
        <f>PV($C$19,B33,,-C33,)</f>
        <v>752539343.97505152</v>
      </c>
    </row>
    <row r="34" spans="2:5" x14ac:dyDescent="0.25">
      <c r="B34" s="146" t="s">
        <v>188</v>
      </c>
      <c r="C34" s="146"/>
      <c r="D34" s="150">
        <f>SUM(D28:D33)</f>
        <v>2809117669.206533</v>
      </c>
    </row>
    <row r="36" spans="2:5" x14ac:dyDescent="0.25">
      <c r="B36" s="153" t="s">
        <v>191</v>
      </c>
      <c r="C36" s="154"/>
      <c r="D36" s="147"/>
    </row>
    <row r="37" spans="2:5" x14ac:dyDescent="0.25">
      <c r="B37" s="24" t="s">
        <v>178</v>
      </c>
      <c r="C37" s="24" t="s">
        <v>189</v>
      </c>
    </row>
    <row r="38" spans="2:5" x14ac:dyDescent="0.25">
      <c r="B38" s="82">
        <v>0</v>
      </c>
      <c r="C38" s="143">
        <f>C28</f>
        <v>-190585000</v>
      </c>
    </row>
    <row r="39" spans="2:5" x14ac:dyDescent="0.25">
      <c r="B39" s="82">
        <v>1</v>
      </c>
      <c r="C39" s="143">
        <f t="shared" ref="C38:C43" si="0">C29</f>
        <v>467412000</v>
      </c>
    </row>
    <row r="40" spans="2:5" x14ac:dyDescent="0.25">
      <c r="B40" s="82">
        <v>2</v>
      </c>
      <c r="C40" s="143">
        <f t="shared" si="0"/>
        <v>761526600</v>
      </c>
    </row>
    <row r="41" spans="2:5" x14ac:dyDescent="0.25">
      <c r="B41" s="82">
        <v>3</v>
      </c>
      <c r="C41" s="143">
        <f t="shared" si="0"/>
        <v>1100799648</v>
      </c>
    </row>
    <row r="42" spans="2:5" x14ac:dyDescent="0.25">
      <c r="B42" s="82">
        <v>4</v>
      </c>
      <c r="C42" s="143">
        <f t="shared" si="0"/>
        <v>1434472053.5999999</v>
      </c>
    </row>
    <row r="43" spans="2:5" x14ac:dyDescent="0.25">
      <c r="B43" s="82">
        <v>5</v>
      </c>
      <c r="C43" s="143">
        <f t="shared" si="0"/>
        <v>1872558700.4000001</v>
      </c>
    </row>
    <row r="44" spans="2:5" x14ac:dyDescent="0.25">
      <c r="B44" s="24" t="s">
        <v>191</v>
      </c>
      <c r="C44" s="155">
        <f>IRR(C38:C43)</f>
        <v>2.9797695078803401</v>
      </c>
    </row>
    <row r="46" spans="2:5" x14ac:dyDescent="0.25">
      <c r="B46" s="162" t="s">
        <v>192</v>
      </c>
      <c r="C46" s="162"/>
      <c r="D46" s="162"/>
      <c r="E46" s="162"/>
    </row>
    <row r="47" spans="2:5" x14ac:dyDescent="0.25">
      <c r="B47" s="163" t="s">
        <v>178</v>
      </c>
      <c r="C47" s="163" t="s">
        <v>189</v>
      </c>
      <c r="D47" s="163" t="s">
        <v>193</v>
      </c>
      <c r="E47" s="163" t="s">
        <v>192</v>
      </c>
    </row>
    <row r="48" spans="2:5" x14ac:dyDescent="0.25">
      <c r="B48" s="82">
        <v>0</v>
      </c>
      <c r="C48" s="143">
        <f>C38</f>
        <v>-190585000</v>
      </c>
      <c r="D48" s="143">
        <f>C48</f>
        <v>-190585000</v>
      </c>
      <c r="E48" s="142"/>
    </row>
    <row r="49" spans="2:5" x14ac:dyDescent="0.25">
      <c r="B49" s="82">
        <v>1</v>
      </c>
      <c r="C49" s="143">
        <f t="shared" ref="C49:C53" si="1">C39</f>
        <v>467412000</v>
      </c>
      <c r="D49" s="143">
        <f>D48+C49</f>
        <v>276827000</v>
      </c>
      <c r="E49" s="161">
        <f>D48/(C49/12)</f>
        <v>-4.8929424148288874</v>
      </c>
    </row>
    <row r="50" spans="2:5" x14ac:dyDescent="0.25">
      <c r="B50" s="82">
        <v>2</v>
      </c>
      <c r="C50" s="143">
        <f t="shared" si="1"/>
        <v>761526600</v>
      </c>
      <c r="D50" s="143">
        <f>D49+C50</f>
        <v>1038353600</v>
      </c>
      <c r="E50" s="142"/>
    </row>
    <row r="51" spans="2:5" x14ac:dyDescent="0.25">
      <c r="B51" s="82">
        <v>3</v>
      </c>
      <c r="C51" s="143">
        <f t="shared" si="1"/>
        <v>1100799648</v>
      </c>
      <c r="D51" s="143">
        <f t="shared" ref="D51:D53" si="2">D50+C51</f>
        <v>2139153248</v>
      </c>
      <c r="E51" s="142"/>
    </row>
    <row r="52" spans="2:5" x14ac:dyDescent="0.25">
      <c r="B52" s="82">
        <v>4</v>
      </c>
      <c r="C52" s="143">
        <f t="shared" si="1"/>
        <v>1434472053.5999999</v>
      </c>
      <c r="D52" s="143">
        <f t="shared" si="2"/>
        <v>3573625301.5999999</v>
      </c>
      <c r="E52" s="142"/>
    </row>
    <row r="53" spans="2:5" x14ac:dyDescent="0.25">
      <c r="B53" s="82">
        <v>5</v>
      </c>
      <c r="C53" s="143">
        <f t="shared" si="1"/>
        <v>1872558700.4000001</v>
      </c>
      <c r="D53" s="143">
        <f>D52+C53</f>
        <v>5446184002</v>
      </c>
      <c r="E53" s="142"/>
    </row>
    <row r="55" spans="2:5" x14ac:dyDescent="0.25">
      <c r="B55" s="144" t="s">
        <v>186</v>
      </c>
      <c r="C55" s="171">
        <f>SUM(C49:C53)/-C48</f>
        <v>29.576141889445655</v>
      </c>
    </row>
    <row r="58" spans="2:5" x14ac:dyDescent="0.25">
      <c r="B58" s="144" t="s">
        <v>194</v>
      </c>
      <c r="C58" s="144" t="s">
        <v>195</v>
      </c>
      <c r="D58" s="144" t="s">
        <v>196</v>
      </c>
      <c r="E58" s="144" t="s">
        <v>197</v>
      </c>
    </row>
    <row r="59" spans="2:5" x14ac:dyDescent="0.25">
      <c r="B59" s="142" t="s">
        <v>188</v>
      </c>
      <c r="C59" s="143">
        <f>D34</f>
        <v>2809117669.206533</v>
      </c>
      <c r="D59" s="142" t="s">
        <v>198</v>
      </c>
      <c r="E59" s="142" t="s">
        <v>199</v>
      </c>
    </row>
    <row r="60" spans="2:5" x14ac:dyDescent="0.25">
      <c r="B60" s="142" t="s">
        <v>191</v>
      </c>
      <c r="C60" s="145">
        <f>C44</f>
        <v>2.9797695078803401</v>
      </c>
      <c r="D60" s="142" t="s">
        <v>185</v>
      </c>
      <c r="E60" s="142" t="s">
        <v>199</v>
      </c>
    </row>
    <row r="61" spans="2:5" x14ac:dyDescent="0.25">
      <c r="B61" s="142" t="s">
        <v>200</v>
      </c>
      <c r="C61" s="170">
        <f>E49</f>
        <v>-4.8929424148288874</v>
      </c>
      <c r="D61" s="142" t="s">
        <v>183</v>
      </c>
      <c r="E61" s="142" t="s">
        <v>199</v>
      </c>
    </row>
    <row r="62" spans="2:5" x14ac:dyDescent="0.25">
      <c r="B62" s="142" t="s">
        <v>201</v>
      </c>
      <c r="C62" s="171">
        <f>C55</f>
        <v>29.576141889445655</v>
      </c>
      <c r="D62" s="142" t="s">
        <v>202</v>
      </c>
      <c r="E62" s="142" t="s">
        <v>199</v>
      </c>
    </row>
  </sheetData>
  <mergeCells count="6">
    <mergeCell ref="B46:E46"/>
    <mergeCell ref="B3:C3"/>
    <mergeCell ref="B21:C21"/>
    <mergeCell ref="B26:D26"/>
    <mergeCell ref="B34:C34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2023-10-19T08:56:38Z</dcterms:created>
  <dcterms:modified xsi:type="dcterms:W3CDTF">2023-10-23T10:59:08Z</dcterms:modified>
</cp:coreProperties>
</file>